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s\Practice_projects\data_cleaning_projects\"/>
    </mc:Choice>
  </mc:AlternateContent>
  <xr:revisionPtr revIDLastSave="0" documentId="13_ncr:1_{5AF1523E-8D0A-4119-ACA0-5A2488CCA5AE}" xr6:coauthVersionLast="47" xr6:coauthVersionMax="47" xr10:uidLastSave="{00000000-0000-0000-0000-000000000000}"/>
  <bookViews>
    <workbookView xWindow="-98" yWindow="-98" windowWidth="28996" windowHeight="14656" tabRatio="764" activeTab="1" xr2:uid="{E582D750-8BD0-47BF-8433-B4607317A6E6}"/>
  </bookViews>
  <sheets>
    <sheet name="cleaned_data" sheetId="1" r:id="rId1"/>
    <sheet name="eda" sheetId="2" r:id="rId2"/>
    <sheet name="dashboard" sheetId="3" r:id="rId3"/>
    <sheet name="revenue &amp; performance" sheetId="4" r:id="rId4"/>
    <sheet name="customer retention &amp; churn" sheetId="6" r:id="rId5"/>
    <sheet name="market &amp; customer segmentation" sheetId="7" r:id="rId6"/>
    <sheet name="data quality &amp; validation" sheetId="8" r:id="rId7"/>
  </sheets>
  <definedNames>
    <definedName name="_xlcn.WorksheetConnection_subscriptions_cleaned.csv.xlsxsubscriptions_raw1" hidden="1">subscriptions_raw[]</definedName>
    <definedName name="ExternalData_1" localSheetId="0" hidden="1">cleaned_data!$A$1:$M$140</definedName>
  </definedNames>
  <calcPr calcId="191029"/>
  <pivotCaches>
    <pivotCache cacheId="56" r:id="rId8"/>
    <pivotCache cacheId="6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bscriptions_raw_d014d2d1-fd52-49c5-9d50-45735d9e6291" name="subscriptions_raw" connection="Query - subscriptions_raw"/>
          <x15:modelTable id="subscriptions_raw 1" name="subscriptions_raw 1" connection="WorksheetConnection_subscriptions_cleaned.csv.xlsx!subscriptions_raw"/>
        </x15:modelTables>
        <x15:extLst>
          <ext xmlns:x16="http://schemas.microsoft.com/office/spreadsheetml/2014/11/main" uri="{9835A34E-60A6-4A7C-AAB8-D5F71C897F49}">
            <x16:modelTimeGroupings>
              <x16:modelTimeGrouping tableName="subscriptions_raw 1" columnName="start_date" columnId="start_date">
                <x16:calculatedTimeColumn columnName="start_date (Year)" columnId="start_date (Year)" contentType="years" isSelected="1"/>
                <x16:calculatedTimeColumn columnName="start_date (Quarter)" columnId="start_date (Quarter)" contentType="quarters" isSelected="1"/>
                <x16:calculatedTimeColumn columnName="start_date (Month Index)" columnId="start_date (Month Index)" contentType="monthsindex" isSelected="1"/>
                <x16:calculatedTimeColumn columnName="start_date (Month)" columnId="star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94087-119C-4302-ABD4-779CCB3384D8}" keepAlive="1" name="ModelConnection_ExternalData_1" description="Data Model" type="5" refreshedVersion="8" minRefreshableVersion="5" saveData="1">
    <dbPr connection="Data Model Connection" command="subscriptions_raw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1D4CF0F-05AA-49A4-BDAB-F8E5046827F5}" name="Query - subscriptions_raw" description="Connection to the 'subscriptions_raw' query in the workbook." type="100" refreshedVersion="8" minRefreshableVersion="5">
    <extLst>
      <ext xmlns:x15="http://schemas.microsoft.com/office/spreadsheetml/2010/11/main" uri="{DE250136-89BD-433C-8126-D09CA5730AF9}">
        <x15:connection id="7b1ec0be-c289-4609-9bc8-d59952709fb6"/>
      </ext>
    </extLst>
  </connection>
  <connection id="3" xr16:uid="{D79CC3D2-4702-49B3-9E8C-FA3039D81A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6CA2BA9-B215-4640-A636-C98AA8FBB0E5}" name="WorksheetConnection_subscriptions_cleaned.csv.xlsx!subscriptions_raw" type="102" refreshedVersion="8" minRefreshableVersion="5">
    <extLst>
      <ext xmlns:x15="http://schemas.microsoft.com/office/spreadsheetml/2010/11/main" uri="{DE250136-89BD-433C-8126-D09CA5730AF9}">
        <x15:connection id="subscriptions_raw 1" autoDelete="1">
          <x15:rangePr sourceName="_xlcn.WorksheetConnection_subscriptions_cleaned.csv.xlsxsubscriptions_raw1"/>
        </x15:connection>
      </ext>
    </extLst>
  </connection>
</connections>
</file>

<file path=xl/sharedStrings.xml><?xml version="1.0" encoding="utf-8"?>
<sst xmlns="http://schemas.openxmlformats.org/spreadsheetml/2006/main" count="1327" uniqueCount="601">
  <si>
    <t>subscription_id</t>
  </si>
  <si>
    <t>customer_id</t>
  </si>
  <si>
    <t>customer_name</t>
  </si>
  <si>
    <t>customer_email</t>
  </si>
  <si>
    <t>country</t>
  </si>
  <si>
    <t>plan</t>
  </si>
  <si>
    <t>monthly_price</t>
  </si>
  <si>
    <t>status</t>
  </si>
  <si>
    <t>start_date</t>
  </si>
  <si>
    <t>end_date</t>
  </si>
  <si>
    <t>payment_method</t>
  </si>
  <si>
    <t>updated_at</t>
  </si>
  <si>
    <t>internal_notes</t>
  </si>
  <si>
    <t>SUB-1001</t>
  </si>
  <si>
    <t>CUST-8067</t>
  </si>
  <si>
    <t>Amy Taylor</t>
  </si>
  <si>
    <t>amy.taylor5@example.com</t>
  </si>
  <si>
    <t>United Kingdom</t>
  </si>
  <si>
    <t>Basic</t>
  </si>
  <si>
    <t>Active</t>
  </si>
  <si>
    <t>Direct_Debit</t>
  </si>
  <si>
    <t/>
  </si>
  <si>
    <t>SUB-1003</t>
  </si>
  <si>
    <t>CUST-8254</t>
  </si>
  <si>
    <t>Chloe Rossi</t>
  </si>
  <si>
    <t>chloe.rossi@example.com</t>
  </si>
  <si>
    <t>Premium</t>
  </si>
  <si>
    <t>Card</t>
  </si>
  <si>
    <t>SUB-1008</t>
  </si>
  <si>
    <t>CUST-4577</t>
  </si>
  <si>
    <t>Hugo Wagner</t>
  </si>
  <si>
    <t>hugo.wagner@example.com</t>
  </si>
  <si>
    <t>Italy</t>
  </si>
  <si>
    <t>Free</t>
  </si>
  <si>
    <t>Paused</t>
  </si>
  <si>
    <t>SUB-1011</t>
  </si>
  <si>
    <t>CUST-7584</t>
  </si>
  <si>
    <t>Leo Fischer</t>
  </si>
  <si>
    <t>leo.fischer@example.com</t>
  </si>
  <si>
    <t>Germany</t>
  </si>
  <si>
    <t>Cancelled</t>
  </si>
  <si>
    <t>SUB-1012</t>
  </si>
  <si>
    <t>CUST-4157</t>
  </si>
  <si>
    <t>Amy Wagner</t>
  </si>
  <si>
    <t>amy.wagner@example.com</t>
  </si>
  <si>
    <t>SUB-1013</t>
  </si>
  <si>
    <t>CUST-9811</t>
  </si>
  <si>
    <t>Noah Kelly</t>
  </si>
  <si>
    <t>noah.kelly83@example.com</t>
  </si>
  <si>
    <t>Unknown</t>
  </si>
  <si>
    <t>SUB-1014</t>
  </si>
  <si>
    <t>CUST-3961</t>
  </si>
  <si>
    <t>Leo Wagner</t>
  </si>
  <si>
    <t>leo.wagner@example.com</t>
  </si>
  <si>
    <t>SUB-1015</t>
  </si>
  <si>
    <t>CUST-3352</t>
  </si>
  <si>
    <t>Sofia Clarke</t>
  </si>
  <si>
    <t>sofia.clarke10@example.com</t>
  </si>
  <si>
    <t>SUB-1017</t>
  </si>
  <si>
    <t>CUST-7169</t>
  </si>
  <si>
    <t>Sofia Wagner</t>
  </si>
  <si>
    <t>sofia.wagner4@example.com</t>
  </si>
  <si>
    <t>SUB-1125</t>
  </si>
  <si>
    <t>CUST-8180</t>
  </si>
  <si>
    <t>Mia Walsh</t>
  </si>
  <si>
    <t>mia.walsh@example.com</t>
  </si>
  <si>
    <t>Ireland</t>
  </si>
  <si>
    <t>SUB-1020</t>
  </si>
  <si>
    <t>CUST-5789</t>
  </si>
  <si>
    <t>Nina Taylor</t>
  </si>
  <si>
    <t>nina.taylor@example.com</t>
  </si>
  <si>
    <t>SUB-1022</t>
  </si>
  <si>
    <t>CUST-8423</t>
  </si>
  <si>
    <t>Finn Becker</t>
  </si>
  <si>
    <t>finn.becker@example.com</t>
  </si>
  <si>
    <t>Paypal</t>
  </si>
  <si>
    <t>SUB-1023</t>
  </si>
  <si>
    <t>CUST-6744</t>
  </si>
  <si>
    <t>Dario Doyle</t>
  </si>
  <si>
    <t>dario.doyle86@example.com</t>
  </si>
  <si>
    <t>SUB-1025</t>
  </si>
  <si>
    <t>CUST-7073</t>
  </si>
  <si>
    <t>Ben Evans</t>
  </si>
  <si>
    <t>ben.evans@example.com</t>
  </si>
  <si>
    <t>SUB-1027</t>
  </si>
  <si>
    <t>CUST-2563</t>
  </si>
  <si>
    <t>Ines Taylor</t>
  </si>
  <si>
    <t>ines.taylor11@example.com</t>
  </si>
  <si>
    <t>SUB-1028</t>
  </si>
  <si>
    <t>CUST-7471</t>
  </si>
  <si>
    <t>Sara Doyle</t>
  </si>
  <si>
    <t>sara.doyle@example.com</t>
  </si>
  <si>
    <t>SUB-1034</t>
  </si>
  <si>
    <t>CUST-8571</t>
  </si>
  <si>
    <t>Hugo Walsh</t>
  </si>
  <si>
    <t>hugo.walsh@example.com</t>
  </si>
  <si>
    <t>SUB-1036</t>
  </si>
  <si>
    <t>CUST-4286</t>
  </si>
  <si>
    <t>Oscar Rossi</t>
  </si>
  <si>
    <t>oscar.rossi@example.com</t>
  </si>
  <si>
    <t>SUB-1037</t>
  </si>
  <si>
    <t>CUST-4174</t>
  </si>
  <si>
    <t>Iris Doyle</t>
  </si>
  <si>
    <t>iris.doyle@example.com</t>
  </si>
  <si>
    <t>SUB-1040</t>
  </si>
  <si>
    <t>CUST-9703</t>
  </si>
  <si>
    <t>Ben Byrne</t>
  </si>
  <si>
    <t>ben.byrne@example.com</t>
  </si>
  <si>
    <t>SUB-1041</t>
  </si>
  <si>
    <t>CUST-7363</t>
  </si>
  <si>
    <t>Marco Romano</t>
  </si>
  <si>
    <t>marco.romano@example.com</t>
  </si>
  <si>
    <t>SUB-1043</t>
  </si>
  <si>
    <t>CUST-2596</t>
  </si>
  <si>
    <t>Oscar Becker</t>
  </si>
  <si>
    <t>oscar.becker@example.com</t>
  </si>
  <si>
    <t>SUB-1045</t>
  </si>
  <si>
    <t>CUST-6877</t>
  </si>
  <si>
    <t>Paul Evans</t>
  </si>
  <si>
    <t>paul.evans@example.com</t>
  </si>
  <si>
    <t>SUB-1046</t>
  </si>
  <si>
    <t>CUST-4123</t>
  </si>
  <si>
    <t>Dario Greco</t>
  </si>
  <si>
    <t>dario.greco56@example.com</t>
  </si>
  <si>
    <t>SUB-1048</t>
  </si>
  <si>
    <t>CUST-5816</t>
  </si>
  <si>
    <t>Oscar Romano</t>
  </si>
  <si>
    <t>oscar.romano@example.com</t>
  </si>
  <si>
    <t>SUB-1051</t>
  </si>
  <si>
    <t>CUST-9429</t>
  </si>
  <si>
    <t>Ben Romano</t>
  </si>
  <si>
    <t>ben.romano@example.com</t>
  </si>
  <si>
    <t>SUB-1052</t>
  </si>
  <si>
    <t>CUST-4677</t>
  </si>
  <si>
    <t>Sofia Byrne</t>
  </si>
  <si>
    <t>sofia.byrne@example.com</t>
  </si>
  <si>
    <t>SUB-1054</t>
  </si>
  <si>
    <t>CUST-9764</t>
  </si>
  <si>
    <t>oscar.becker4@example.com</t>
  </si>
  <si>
    <t>SUB-1055</t>
  </si>
  <si>
    <t>CUST-2885</t>
  </si>
  <si>
    <t>Jack Walsh</t>
  </si>
  <si>
    <t>jack.walsh79@example.com</t>
  </si>
  <si>
    <t>SUB-1056</t>
  </si>
  <si>
    <t>CUST-2834</t>
  </si>
  <si>
    <t>ben.romano52@example.com</t>
  </si>
  <si>
    <t>SUB-1057</t>
  </si>
  <si>
    <t>CUST-7304</t>
  </si>
  <si>
    <t>Leo Taylor</t>
  </si>
  <si>
    <t>leo.taylor@example.com</t>
  </si>
  <si>
    <t>SUB-1058</t>
  </si>
  <si>
    <t>CUST-8011</t>
  </si>
  <si>
    <t>Noah Byrne</t>
  </si>
  <si>
    <t>noah.byrne48@example.com</t>
  </si>
  <si>
    <t>SUB-1060</t>
  </si>
  <si>
    <t>CUST-3489</t>
  </si>
  <si>
    <t>Oscar Fischer</t>
  </si>
  <si>
    <t>oscar.fischer74@example.com</t>
  </si>
  <si>
    <t>SUB-1067</t>
  </si>
  <si>
    <t>CUST-6028</t>
  </si>
  <si>
    <t>Nina Walsh</t>
  </si>
  <si>
    <t>nina.walsh@example.com</t>
  </si>
  <si>
    <t>SUB-1068</t>
  </si>
  <si>
    <t>CUST-6966</t>
  </si>
  <si>
    <t>Emma Bianchi</t>
  </si>
  <si>
    <t>emma.bianchi@example.com</t>
  </si>
  <si>
    <t>SUB-1074</t>
  </si>
  <si>
    <t>CUST-8848</t>
  </si>
  <si>
    <t>Lena Byrne</t>
  </si>
  <si>
    <t>lena.byrne@example.com</t>
  </si>
  <si>
    <t>SUB-1076</t>
  </si>
  <si>
    <t>CUST-3317</t>
  </si>
  <si>
    <t>Iris Clarke</t>
  </si>
  <si>
    <t>iris.clarke@example.com</t>
  </si>
  <si>
    <t>SUB-1077</t>
  </si>
  <si>
    <t>CUST-9947</t>
  </si>
  <si>
    <t>ben.romano99.example.com</t>
  </si>
  <si>
    <t>SUB-1079</t>
  </si>
  <si>
    <t>CUST-3960</t>
  </si>
  <si>
    <t>Emma Kelly</t>
  </si>
  <si>
    <t>emma.kelly58@example.com</t>
  </si>
  <si>
    <t>SUB-1081</t>
  </si>
  <si>
    <t>CUST-6515</t>
  </si>
  <si>
    <t>Marco Greco</t>
  </si>
  <si>
    <t>marco.greco@example.com</t>
  </si>
  <si>
    <t>SUB-1083</t>
  </si>
  <si>
    <t>CUST-5090</t>
  </si>
  <si>
    <t>Ines Clarke</t>
  </si>
  <si>
    <t>ines.clarke@example.com</t>
  </si>
  <si>
    <t>SUB-1085</t>
  </si>
  <si>
    <t>CUST-9161</t>
  </si>
  <si>
    <t>Ben Bianchi</t>
  </si>
  <si>
    <t>ben.bianchi@example.com</t>
  </si>
  <si>
    <t>SUB-1119</t>
  </si>
  <si>
    <t>CUST-9744</t>
  </si>
  <si>
    <t>Ben Kelly</t>
  </si>
  <si>
    <t>ben.kelly@example.com</t>
  </si>
  <si>
    <t>SUB-1090</t>
  </si>
  <si>
    <t>CUST-9477</t>
  </si>
  <si>
    <t>Luca Walsh</t>
  </si>
  <si>
    <t>luca.walsh@example.com</t>
  </si>
  <si>
    <t>SUB-1091</t>
  </si>
  <si>
    <t>CUST-3294</t>
  </si>
  <si>
    <t>Chloe Fischer</t>
  </si>
  <si>
    <t>chloe.fischer34@example.com</t>
  </si>
  <si>
    <t>SUB-1093</t>
  </si>
  <si>
    <t>CUST-2066</t>
  </si>
  <si>
    <t>Jack Weber</t>
  </si>
  <si>
    <t>jack.weber39@example.com</t>
  </si>
  <si>
    <t>SUB-1094</t>
  </si>
  <si>
    <t>CUST-6973</t>
  </si>
  <si>
    <t>Liam Wood</t>
  </si>
  <si>
    <t>liam.wood@example.com</t>
  </si>
  <si>
    <t>SUB-1096</t>
  </si>
  <si>
    <t>CUST-3438</t>
  </si>
  <si>
    <t>Liam Weber</t>
  </si>
  <si>
    <t>liam.weber48@example.com</t>
  </si>
  <si>
    <t>SUB-1097</t>
  </si>
  <si>
    <t>CUST-9924</t>
  </si>
  <si>
    <t>Jack Greco</t>
  </si>
  <si>
    <t>jack.greco@example.com</t>
  </si>
  <si>
    <t>SUB-1105</t>
  </si>
  <si>
    <t>CUST-8343</t>
  </si>
  <si>
    <t>Mia Schmidt</t>
  </si>
  <si>
    <t>mia.schmidt99@example.com</t>
  </si>
  <si>
    <t>SUB-1108</t>
  </si>
  <si>
    <t>CUST-5492</t>
  </si>
  <si>
    <t>Liam Greco</t>
  </si>
  <si>
    <t>liam.greco@example.com</t>
  </si>
  <si>
    <t>SUB-1109</t>
  </si>
  <si>
    <t>CUST-6795</t>
  </si>
  <si>
    <t>Sara Schmidt</t>
  </si>
  <si>
    <t>sara.schmidt@example.com</t>
  </si>
  <si>
    <t>SUB-1110</t>
  </si>
  <si>
    <t>CUST-8986</t>
  </si>
  <si>
    <t>Leo Greco</t>
  </si>
  <si>
    <t>leo.greco@example.com</t>
  </si>
  <si>
    <t>SUB-1111</t>
  </si>
  <si>
    <t>CUST-5407</t>
  </si>
  <si>
    <t>Dario Becker</t>
  </si>
  <si>
    <t>dario.becker@example.com</t>
  </si>
  <si>
    <t>SUB-1112</t>
  </si>
  <si>
    <t>CUST-2763</t>
  </si>
  <si>
    <t>Ben Ferrari</t>
  </si>
  <si>
    <t>ben.ferrari@example.com</t>
  </si>
  <si>
    <t>SUB-1117</t>
  </si>
  <si>
    <t>CUST-2407</t>
  </si>
  <si>
    <t>Dario Wagner</t>
  </si>
  <si>
    <t>dario.wagner74@example.com</t>
  </si>
  <si>
    <t>SUB-1118</t>
  </si>
  <si>
    <t>CUST-5521</t>
  </si>
  <si>
    <t>Tom Clarke</t>
  </si>
  <si>
    <t>tom.clarke@example.com</t>
  </si>
  <si>
    <t>SUB-1126</t>
  </si>
  <si>
    <t>CUST-5602</t>
  </si>
  <si>
    <t>Max Weber</t>
  </si>
  <si>
    <t>max.weber84@example.com</t>
  </si>
  <si>
    <t>SUB-1128</t>
  </si>
  <si>
    <t>CUST-2336</t>
  </si>
  <si>
    <t>Leo Wood</t>
  </si>
  <si>
    <t>leo.wood@example.com</t>
  </si>
  <si>
    <t>SUB-1129</t>
  </si>
  <si>
    <t>CUST-9365</t>
  </si>
  <si>
    <t>Mia Wagner</t>
  </si>
  <si>
    <t>mia.wagner@example.com</t>
  </si>
  <si>
    <t>SUB-1130</t>
  </si>
  <si>
    <t>CUST-4981</t>
  </si>
  <si>
    <t>Luca Murphy</t>
  </si>
  <si>
    <t>luca.murphy33@example.com</t>
  </si>
  <si>
    <t>SUB-1134</t>
  </si>
  <si>
    <t>CUST-8276</t>
  </si>
  <si>
    <t>Tom Greco</t>
  </si>
  <si>
    <t>tom.greco@example.com</t>
  </si>
  <si>
    <t>SUB-1137</t>
  </si>
  <si>
    <t>CUST-8624</t>
  </si>
  <si>
    <t>Leo Kelly</t>
  </si>
  <si>
    <t>leo.kelly98@example.com</t>
  </si>
  <si>
    <t>SUB-1139</t>
  </si>
  <si>
    <t>CUST-8929</t>
  </si>
  <si>
    <t>Karl Ferrari</t>
  </si>
  <si>
    <t>karl.ferrari8@example.com</t>
  </si>
  <si>
    <t>SUB-1140</t>
  </si>
  <si>
    <t>CUST-9458</t>
  </si>
  <si>
    <t>Ella Walsh</t>
  </si>
  <si>
    <t>ella.walsh@example.com</t>
  </si>
  <si>
    <t>SUB-1141</t>
  </si>
  <si>
    <t>CUST-5071</t>
  </si>
  <si>
    <t>Max Rossi</t>
  </si>
  <si>
    <t>max.rossi@example.com</t>
  </si>
  <si>
    <t>SUB-1142</t>
  </si>
  <si>
    <t>CUST-3136</t>
  </si>
  <si>
    <t>Iris Wagner</t>
  </si>
  <si>
    <t>iris.wagner@example.com</t>
  </si>
  <si>
    <t>SUB-1144</t>
  </si>
  <si>
    <t>CUST-6094</t>
  </si>
  <si>
    <t>Liam Evans</t>
  </si>
  <si>
    <t>liam.evans55@example.com</t>
  </si>
  <si>
    <t>SUB-1146</t>
  </si>
  <si>
    <t>CUST-5851</t>
  </si>
  <si>
    <t>Sofia Greco</t>
  </si>
  <si>
    <t>sofia.greco71@example.com</t>
  </si>
  <si>
    <t>SUB-1149</t>
  </si>
  <si>
    <t>CUST-2299</t>
  </si>
  <si>
    <t>Lena Murphy</t>
  </si>
  <si>
    <t>lena.murphy@example.com</t>
  </si>
  <si>
    <t>SUB-1005</t>
  </si>
  <si>
    <t>CUST-2653</t>
  </si>
  <si>
    <t>Leo Hughes</t>
  </si>
  <si>
    <t>leo.hughes@example.com</t>
  </si>
  <si>
    <t>requested invoice</t>
  </si>
  <si>
    <t>SUB-1021</t>
  </si>
  <si>
    <t>CUST-9588</t>
  </si>
  <si>
    <t>Karl Doyle</t>
  </si>
  <si>
    <t>karl.doyle@example.com</t>
  </si>
  <si>
    <t>call back re refund</t>
  </si>
  <si>
    <t>SUB-1026</t>
  </si>
  <si>
    <t>CUST-4457</t>
  </si>
  <si>
    <t>Chloe Becker</t>
  </si>
  <si>
    <t>chloe.becker87@example.com</t>
  </si>
  <si>
    <t>promo SUMMER25</t>
  </si>
  <si>
    <t>VIP</t>
  </si>
  <si>
    <t>SUB-1032</t>
  </si>
  <si>
    <t>CUST-9643</t>
  </si>
  <si>
    <t>Iris Hughes</t>
  </si>
  <si>
    <t>iris.hughes76@example.com</t>
  </si>
  <si>
    <t>SUB-1038</t>
  </si>
  <si>
    <t>CUST-4086</t>
  </si>
  <si>
    <t>hugo.wagner57@example.com</t>
  </si>
  <si>
    <t>SUB-1047</t>
  </si>
  <si>
    <t>CUST-4751</t>
  </si>
  <si>
    <t>Julia Clarke</t>
  </si>
  <si>
    <t>julia.clarke@example.com</t>
  </si>
  <si>
    <t>SUB-1062</t>
  </si>
  <si>
    <t>CUST-4410</t>
  </si>
  <si>
    <t>Ella Evans</t>
  </si>
  <si>
    <t>ella.evans@example.com</t>
  </si>
  <si>
    <t>support ticket open</t>
  </si>
  <si>
    <t>SUB-1065</t>
  </si>
  <si>
    <t>CUST-4476</t>
  </si>
  <si>
    <t>Ella Greco</t>
  </si>
  <si>
    <t>ella.greco@example.com</t>
  </si>
  <si>
    <t>migrated from legacy billing</t>
  </si>
  <si>
    <t>SUB-1069</t>
  </si>
  <si>
    <t>CUST-2493</t>
  </si>
  <si>
    <t>Elena Fischer</t>
  </si>
  <si>
    <t>elena.fischer@example.com</t>
  </si>
  <si>
    <t>SUB-1078</t>
  </si>
  <si>
    <t>CUST-7123</t>
  </si>
  <si>
    <t>Anna Doyle</t>
  </si>
  <si>
    <t>anna.doyle@example.com</t>
  </si>
  <si>
    <t>SUB-1087</t>
  </si>
  <si>
    <t>CUST-9269</t>
  </si>
  <si>
    <t>Amy Schmidt</t>
  </si>
  <si>
    <t>amy.schmidt44@example.com</t>
  </si>
  <si>
    <t>SUB-1092</t>
  </si>
  <si>
    <t>CUST-5151</t>
  </si>
  <si>
    <t>Ines Kelly</t>
  </si>
  <si>
    <t>ines.kelly@example.com</t>
  </si>
  <si>
    <t>SUB-1099</t>
  </si>
  <si>
    <t>CUST-9702</t>
  </si>
  <si>
    <t>Noah Fischer</t>
  </si>
  <si>
    <t>noah.fischer49@example.com</t>
  </si>
  <si>
    <t>SUB-1100</t>
  </si>
  <si>
    <t>CUST-7743</t>
  </si>
  <si>
    <t>Leo Doyle</t>
  </si>
  <si>
    <t>leo.doyle43@example.com</t>
  </si>
  <si>
    <t>SUB-1102</t>
  </si>
  <si>
    <t>CUST-7043</t>
  </si>
  <si>
    <t>Tom Weber</t>
  </si>
  <si>
    <t>tom.weber97@example.com</t>
  </si>
  <si>
    <t>SUB-1103</t>
  </si>
  <si>
    <t>CUST-9386</t>
  </si>
  <si>
    <t>Mia Fischer</t>
  </si>
  <si>
    <t>mia.fischer@example.com</t>
  </si>
  <si>
    <t>SUB-1106</t>
  </si>
  <si>
    <t>CUST-3949</t>
  </si>
  <si>
    <t>hugo.walsh16@example.com</t>
  </si>
  <si>
    <t>SUB-1107</t>
  </si>
  <si>
    <t>CUST-6863</t>
  </si>
  <si>
    <t>Emma Byrne</t>
  </si>
  <si>
    <t>emma.byrne@example.com</t>
  </si>
  <si>
    <t>SUB-1132</t>
  </si>
  <si>
    <t>CUST-7374</t>
  </si>
  <si>
    <t>Karl Wood</t>
  </si>
  <si>
    <t>karl.wood@example.com</t>
  </si>
  <si>
    <t>SUB-1122</t>
  </si>
  <si>
    <t>CUST-7063</t>
  </si>
  <si>
    <t>Elena Byrne</t>
  </si>
  <si>
    <t>elena.byrne@example.com</t>
  </si>
  <si>
    <t>SUB-1123</t>
  </si>
  <si>
    <t>CUST-3815</t>
  </si>
  <si>
    <t>Oscar Byrne</t>
  </si>
  <si>
    <t>oscar.byrne@example.com</t>
  </si>
  <si>
    <t>SUB-1127</t>
  </si>
  <si>
    <t>CUST-2466</t>
  </si>
  <si>
    <t>Hugo Ferrari</t>
  </si>
  <si>
    <t>hugo.ferrari@example.com</t>
  </si>
  <si>
    <t>SUB-1133</t>
  </si>
  <si>
    <t>CUST-8790</t>
  </si>
  <si>
    <t>Sofia Kelly</t>
  </si>
  <si>
    <t>sofia.kelly@example.com</t>
  </si>
  <si>
    <t>SUB-1135</t>
  </si>
  <si>
    <t>CUST-2309</t>
  </si>
  <si>
    <t>Emma Schmidt</t>
  </si>
  <si>
    <t>emma.schmidt@example.com</t>
  </si>
  <si>
    <t>SUB-1143</t>
  </si>
  <si>
    <t>CUST-5467</t>
  </si>
  <si>
    <t>Anna Schmidt</t>
  </si>
  <si>
    <t>anna.schmidt@example.com</t>
  </si>
  <si>
    <t>SUB-1148</t>
  </si>
  <si>
    <t>CUST-5749</t>
  </si>
  <si>
    <t>Ben Fischer</t>
  </si>
  <si>
    <t>ben.fischer@example.com</t>
  </si>
  <si>
    <t>SUB-1002</t>
  </si>
  <si>
    <t>CUST-7745</t>
  </si>
  <si>
    <t>Liam Rossi</t>
  </si>
  <si>
    <t>liam.rossi@example.com</t>
  </si>
  <si>
    <t>SUB-1004</t>
  </si>
  <si>
    <t>CUST-5100</t>
  </si>
  <si>
    <t>Jack Hughes</t>
  </si>
  <si>
    <t>jack.hughes@example.com</t>
  </si>
  <si>
    <t>SUB-1006</t>
  </si>
  <si>
    <t>CUST-6990</t>
  </si>
  <si>
    <t>Sara Hughes</t>
  </si>
  <si>
    <t>sara.hughes@example.com</t>
  </si>
  <si>
    <t>SUB-1007</t>
  </si>
  <si>
    <t>CUST-8904</t>
  </si>
  <si>
    <t>Luca Fischer</t>
  </si>
  <si>
    <t>luca.fischer.example.com</t>
  </si>
  <si>
    <t>SUB-1009</t>
  </si>
  <si>
    <t>CUST-5509</t>
  </si>
  <si>
    <t>Max Fischer</t>
  </si>
  <si>
    <t>max.fischer@example.com</t>
  </si>
  <si>
    <t>SUB-1010</t>
  </si>
  <si>
    <t>CUST-7574</t>
  </si>
  <si>
    <t>Emma Greco</t>
  </si>
  <si>
    <t>emma.greco@example.com</t>
  </si>
  <si>
    <t>SUB-1016</t>
  </si>
  <si>
    <t>CUST-5588</t>
  </si>
  <si>
    <t>Mia Doyle</t>
  </si>
  <si>
    <t>mia.doyle98@example.com</t>
  </si>
  <si>
    <t>SUB-1018</t>
  </si>
  <si>
    <t>CUST-9663</t>
  </si>
  <si>
    <t>Karl Wagner</t>
  </si>
  <si>
    <t>karl.wagner11@example.com</t>
  </si>
  <si>
    <t>SUB-1019</t>
  </si>
  <si>
    <t>CUST-9076</t>
  </si>
  <si>
    <t>Hugo Clarke</t>
  </si>
  <si>
    <t>hugo.clarke@example.com</t>
  </si>
  <si>
    <t>SUB-1024</t>
  </si>
  <si>
    <t>CUST-2656</t>
  </si>
  <si>
    <t>Liam Murphy</t>
  </si>
  <si>
    <t>liam.murphy@example.com</t>
  </si>
  <si>
    <t>SUB-1029</t>
  </si>
  <si>
    <t>CUST-3725</t>
  </si>
  <si>
    <t>Noah Bianchi</t>
  </si>
  <si>
    <t>noah.bianchi@example.com</t>
  </si>
  <si>
    <t>SUB-1031</t>
  </si>
  <si>
    <t>CUST-9741</t>
  </si>
  <si>
    <t>Amy Ferrari</t>
  </si>
  <si>
    <t>amy.ferrari22@example.com</t>
  </si>
  <si>
    <t>SUB-1033</t>
  </si>
  <si>
    <t>CUST-7084</t>
  </si>
  <si>
    <t>Mia Evans</t>
  </si>
  <si>
    <t>mia.evans@example.com</t>
  </si>
  <si>
    <t>SUB-1039</t>
  </si>
  <si>
    <t>CUST-8946</t>
  </si>
  <si>
    <t>Ben Becker</t>
  </si>
  <si>
    <t>ben.becker.example.com</t>
  </si>
  <si>
    <t>SUB-1042</t>
  </si>
  <si>
    <t>CUST-7072</t>
  </si>
  <si>
    <t>Mia Greco</t>
  </si>
  <si>
    <t>mia.greco62@example.com</t>
  </si>
  <si>
    <t>SUB-1044</t>
  </si>
  <si>
    <t>CUST-3792</t>
  </si>
  <si>
    <t>Mia Romano</t>
  </si>
  <si>
    <t>mia.romano@example.com</t>
  </si>
  <si>
    <t>SUB-1049</t>
  </si>
  <si>
    <t>CUST-4881</t>
  </si>
  <si>
    <t>Elena Weber</t>
  </si>
  <si>
    <t>elena.weber@example.com</t>
  </si>
  <si>
    <t>SUB-1050</t>
  </si>
  <si>
    <t>CUST-4235</t>
  </si>
  <si>
    <t>Iris Byrne</t>
  </si>
  <si>
    <t>iris.byrne70@example.com</t>
  </si>
  <si>
    <t>SUB-1053</t>
  </si>
  <si>
    <t>CUST-2562</t>
  </si>
  <si>
    <t>iris.byrne@example.com</t>
  </si>
  <si>
    <t>SUB-1059</t>
  </si>
  <si>
    <t>CUST-8805</t>
  </si>
  <si>
    <t>Max Doyle</t>
  </si>
  <si>
    <t>max.doyle@example.com</t>
  </si>
  <si>
    <t>SUB-1061</t>
  </si>
  <si>
    <t>CUST-2701</t>
  </si>
  <si>
    <t>Nina Ferrari</t>
  </si>
  <si>
    <t>nina.ferrari78@example.com</t>
  </si>
  <si>
    <t>SUB-1064</t>
  </si>
  <si>
    <t>CUST-3772</t>
  </si>
  <si>
    <t>Oscar Taylor</t>
  </si>
  <si>
    <t>oscar.taylor@example.com</t>
  </si>
  <si>
    <t>SUB-1066</t>
  </si>
  <si>
    <t>CUST-2100</t>
  </si>
  <si>
    <t>Liam Doyle</t>
  </si>
  <si>
    <t>liam.doyle39@example.com</t>
  </si>
  <si>
    <t>SUB-1071</t>
  </si>
  <si>
    <t>CUST-4167</t>
  </si>
  <si>
    <t>Oscar Kelly</t>
  </si>
  <si>
    <t>oscar.kelly@example.com</t>
  </si>
  <si>
    <t>SUB-1072</t>
  </si>
  <si>
    <t>CUST-2584</t>
  </si>
  <si>
    <t>Hugo Becker</t>
  </si>
  <si>
    <t>hugo.becker@example.com</t>
  </si>
  <si>
    <t>SUB-1073</t>
  </si>
  <si>
    <t>CUST-6099</t>
  </si>
  <si>
    <t>Dario Weber</t>
  </si>
  <si>
    <t>dario.weber@example.com</t>
  </si>
  <si>
    <t>SUB-1082</t>
  </si>
  <si>
    <t>CUST-2021</t>
  </si>
  <si>
    <t>Julia Bianchi</t>
  </si>
  <si>
    <t>julia.bianchi@example.com</t>
  </si>
  <si>
    <t>SUB-1084</t>
  </si>
  <si>
    <t>CUST-7777</t>
  </si>
  <si>
    <t>Clara Evans</t>
  </si>
  <si>
    <t>clara.evans@example.com</t>
  </si>
  <si>
    <t>SUB-1086</t>
  </si>
  <si>
    <t>CUST-9939</t>
  </si>
  <si>
    <t>Sara Rossi</t>
  </si>
  <si>
    <t>sara.rossi@example.com</t>
  </si>
  <si>
    <t>SUB-1095</t>
  </si>
  <si>
    <t>CUST-7140</t>
  </si>
  <si>
    <t>Leo Ferrari</t>
  </si>
  <si>
    <t>leo.ferrari88@example.com</t>
  </si>
  <si>
    <t>SUB-1101</t>
  </si>
  <si>
    <t>CUST-7492</t>
  </si>
  <si>
    <t>Liam Kelly</t>
  </si>
  <si>
    <t>liam.kelly@example.com</t>
  </si>
  <si>
    <t>SUB-1104</t>
  </si>
  <si>
    <t>CUST-4732</t>
  </si>
  <si>
    <t>Mia Taylor</t>
  </si>
  <si>
    <t>mia.taylor@example.com</t>
  </si>
  <si>
    <t>SUB-1113</t>
  </si>
  <si>
    <t>CUST-9709</t>
  </si>
  <si>
    <t>Paul Murphy</t>
  </si>
  <si>
    <t>paul.murphy77@example.com</t>
  </si>
  <si>
    <t>SUB-1114</t>
  </si>
  <si>
    <t>CUST-6556</t>
  </si>
  <si>
    <t>Jack Taylor</t>
  </si>
  <si>
    <t>jack.taylor75@example.com</t>
  </si>
  <si>
    <t>SUB-1115</t>
  </si>
  <si>
    <t>CUST-8794</t>
  </si>
  <si>
    <t>oscar.byrne73@example.com</t>
  </si>
  <si>
    <t>SUB-1116</t>
  </si>
  <si>
    <t>CUST-3162</t>
  </si>
  <si>
    <t>Ella Kelly</t>
  </si>
  <si>
    <t>ella.kelly@example.com</t>
  </si>
  <si>
    <t>SUB-1120</t>
  </si>
  <si>
    <t>CUST-7764</t>
  </si>
  <si>
    <t>Marco Wagner</t>
  </si>
  <si>
    <t>marco.wagner@example.com</t>
  </si>
  <si>
    <t>SUB-1124</t>
  </si>
  <si>
    <t>CUST-7287</t>
  </si>
  <si>
    <t>Noah Greco</t>
  </si>
  <si>
    <t>noah.greco@example.com</t>
  </si>
  <si>
    <t>SUB-1131</t>
  </si>
  <si>
    <t>CUST-6570</t>
  </si>
  <si>
    <t>Ella Wagner</t>
  </si>
  <si>
    <t>ella.wagner88@example.com</t>
  </si>
  <si>
    <t>SUB-1136</t>
  </si>
  <si>
    <t>CUST-5365</t>
  </si>
  <si>
    <t>Emma Walsh</t>
  </si>
  <si>
    <t>emma.walsh25@example.com</t>
  </si>
  <si>
    <t>SUB-1138</t>
  </si>
  <si>
    <t>CUST-3327</t>
  </si>
  <si>
    <t>jack.weber@example.com</t>
  </si>
  <si>
    <t>SUB-1147</t>
  </si>
  <si>
    <t>CUST-4886</t>
  </si>
  <si>
    <t>Jack Evans</t>
  </si>
  <si>
    <t>jack.evans95@example.com</t>
  </si>
  <si>
    <t>SUB-1150</t>
  </si>
  <si>
    <t>CUST-9328</t>
  </si>
  <si>
    <t>Karl Murphy</t>
  </si>
  <si>
    <t>karl.murphy@example.com</t>
  </si>
  <si>
    <t>Row Labels</t>
  </si>
  <si>
    <t>Grand Total</t>
  </si>
  <si>
    <t>Count of subscription_id</t>
  </si>
  <si>
    <t>Column Labels</t>
  </si>
  <si>
    <t>Qtr1</t>
  </si>
  <si>
    <t>Qtr2</t>
  </si>
  <si>
    <t>Qtr3</t>
  </si>
  <si>
    <t>Qtr4</t>
  </si>
  <si>
    <t>total_revenue</t>
  </si>
  <si>
    <t xml:space="preserve"> How is revenue distributed across countries?</t>
  </si>
  <si>
    <t xml:space="preserve"> What is the cancellation rate for a defined period?</t>
  </si>
  <si>
    <t xml:space="preserve"> How many active customers are in each country?</t>
  </si>
  <si>
    <t xml:space="preserve"> Are some countries more dependent on free subscriptions?</t>
  </si>
  <si>
    <t xml:space="preserve"> Are duplicate IDs genuine duplicate transactions or separate billing events?</t>
  </si>
  <si>
    <t xml:space="preserve"> How much could the identified data-quality problems affect reported revenue and churn?</t>
  </si>
  <si>
    <t>&lt;1/6/2024</t>
  </si>
  <si>
    <t>% status</t>
  </si>
  <si>
    <t>Count of customer_id</t>
  </si>
  <si>
    <t>What is the monthly recurring revenue (MRR) from active paid subscriptions?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</si>
</sst>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Continuous"/>
    </xf>
    <xf numFmtId="10" fontId="0" fillId="0" borderId="0" xfId="0" applyNumberFormat="1"/>
  </cellXfs>
  <cellStyles count="1">
    <cellStyle name="Normal" xfId="0" builtinId="0"/>
  </cellStyles>
  <dxfs count="11">
    <dxf>
      <numFmt numFmtId="27" formatCode="m/d/yyyy\ h:m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ldeep soni" refreshedDate="46306.566143981479" createdVersion="8" refreshedVersion="8" minRefreshableVersion="3" recordCount="139" xr:uid="{B80ED6CF-BB59-43D0-86B2-1661FEF9DEA4}">
  <cacheSource type="worksheet">
    <worksheetSource name="subscriptions_raw"/>
  </cacheSource>
  <cacheFields count="19">
    <cacheField name="subscription_id" numFmtId="0">
      <sharedItems/>
    </cacheField>
    <cacheField name="customer_id" numFmtId="0">
      <sharedItems/>
    </cacheField>
    <cacheField name="customer_name" numFmtId="0">
      <sharedItems/>
    </cacheField>
    <cacheField name="customer_email" numFmtId="0">
      <sharedItems/>
    </cacheField>
    <cacheField name="country" numFmtId="0">
      <sharedItems count="4">
        <s v="United Kingdom"/>
        <s v="Germany"/>
        <s v="Italy"/>
        <s v="Ireland"/>
      </sharedItems>
    </cacheField>
    <cacheField name="plan" numFmtId="0">
      <sharedItems count="3">
        <s v="Basic"/>
        <s v="Free"/>
        <s v="Premium"/>
      </sharedItems>
    </cacheField>
    <cacheField name="monthly_price" numFmtId="0">
      <sharedItems containsSemiMixedTypes="0" containsString="0" containsNumber="1" minValue="0" maxValue="19.989999999999998"/>
    </cacheField>
    <cacheField name="status" numFmtId="0">
      <sharedItems count="3">
        <s v="Active"/>
        <s v="Cancelled"/>
        <s v="Paused"/>
      </sharedItems>
    </cacheField>
    <cacheField name="start_date" numFmtId="14">
      <sharedItems containsNonDate="0" containsDate="1" containsString="0" containsBlank="1" minDate="2024-01-06T00:00:00" maxDate="2062-11-01T00:00:00" count="125">
        <d v="2026-01-24T00:00:00"/>
        <d v="2025-07-28T00:00:00"/>
        <d v="2024-06-08T00:00:00"/>
        <d v="2025-07-03T00:00:00"/>
        <d v="2024-08-21T00:00:00"/>
        <d v="2025-12-19T00:00:00"/>
        <d v="2025-07-24T00:00:00"/>
        <d v="2025-08-03T00:00:00"/>
        <d v="2025-07-05T00:00:00"/>
        <d v="2024-06-05T00:00:00"/>
        <d v="2024-01-12T00:00:00"/>
        <d v="2026-01-09T00:00:00"/>
        <d v="2026-02-19T00:00:00"/>
        <d v="2026-05-01T00:00:00"/>
        <d v="2025-05-01T00:00:00"/>
        <d v="2025-02-12T00:00:00"/>
        <d v="2024-01-08T00:00:00"/>
        <d v="2024-08-07T00:00:00"/>
        <d v="2024-12-28T00:00:00"/>
        <d v="2025-03-08T00:00:00"/>
        <d v="2024-01-16T00:00:00"/>
        <d v="2025-02-03T00:00:00"/>
        <d v="2024-08-10T00:00:00"/>
        <d v="2024-06-10T00:00:00"/>
        <d v="2025-08-15T00:00:00"/>
        <d v="2024-05-14T00:00:00"/>
        <d v="2026-08-13T00:00:00"/>
        <d v="2062-10-31T00:00:00"/>
        <d v="2024-11-11T00:00:00"/>
        <d v="2026-06-14T00:00:00"/>
        <d v="2026-03-12T00:00:00"/>
        <d v="2024-03-12T00:00:00"/>
        <d v="2062-07-01T00:00:00"/>
        <d v="2026-07-10T00:00:00"/>
        <d v="2024-12-04T00:00:00"/>
        <d v="2024-07-15T00:00:00"/>
        <d v="2026-03-15T00:00:00"/>
        <d v="2025-06-11T00:00:00"/>
        <d v="2025-09-17T00:00:00"/>
        <d v="2024-01-06T00:00:00"/>
        <d v="2025-06-27T00:00:00"/>
        <d v="2026-06-01T00:00:00"/>
        <d v="2024-10-19T00:00:00"/>
        <d v="2025-02-21T00:00:00"/>
        <d v="2025-01-24T00:00:00"/>
        <d v="2026-07-08T00:00:00"/>
        <d v="2025-09-29T00:00:00"/>
        <d v="2024-12-01T00:00:00"/>
        <d v="2024-02-23T00:00:00"/>
        <d v="2025-11-16T00:00:00"/>
        <d v="2026-03-07T00:00:00"/>
        <d v="2026-04-30T00:00:00"/>
        <d v="2025-01-14T00:00:00"/>
        <d v="2024-10-01T00:00:00"/>
        <d v="2025-05-21T00:00:00"/>
        <d v="2025-06-13T00:00:00"/>
        <d v="2026-03-22T00:00:00"/>
        <d v="2024-10-30T00:00:00"/>
        <d v="2026-02-09T00:00:00"/>
        <m/>
        <d v="2025-07-25T00:00:00"/>
        <d v="2024-11-08T00:00:00"/>
        <d v="2025-12-04T00:00:00"/>
        <d v="2026-07-19T00:00:00"/>
        <d v="2025-12-17T00:00:00"/>
        <d v="2024-08-22T00:00:00"/>
        <d v="2025-11-17T00:00:00"/>
        <d v="2024-09-15T00:00:00"/>
        <d v="2025-10-07T00:00:00"/>
        <d v="2025-04-28T00:00:00"/>
        <d v="2024-12-14T00:00:00"/>
        <d v="2025-07-19T00:00:00"/>
        <d v="2024-02-14T00:00:00"/>
        <d v="2024-12-05T00:00:00"/>
        <d v="2024-06-07T00:00:00"/>
        <d v="2024-11-20T00:00:00"/>
        <d v="2025-11-30T00:00:00"/>
        <d v="2026-07-11T00:00:00"/>
        <d v="2025-11-05T00:00:00"/>
        <d v="2026-03-05T00:00:00"/>
        <d v="2024-05-20T00:00:00"/>
        <d v="2024-11-30T00:00:00"/>
        <d v="2026-04-24T00:00:00"/>
        <d v="2025-01-25T00:00:00"/>
        <d v="2026-04-23T00:00:00"/>
        <d v="2024-05-18T00:00:00"/>
        <d v="2024-04-11T00:00:00"/>
        <d v="2025-12-03T00:00:00"/>
        <d v="2025-09-03T00:00:00"/>
        <d v="2025-01-01T00:00:00"/>
        <d v="2025-05-05T00:00:00"/>
        <d v="2024-10-08T00:00:00"/>
        <d v="2026-03-23T00:00:00"/>
        <d v="2026-04-27T00:00:00"/>
        <d v="2024-04-03T00:00:00"/>
        <d v="2025-02-24T00:00:00"/>
        <d v="2024-08-17T00:00:00"/>
        <d v="2024-01-27T00:00:00"/>
        <d v="2025-08-02T00:00:00"/>
        <d v="2025-06-08T00:00:00"/>
        <d v="2024-05-12T00:00:00"/>
        <d v="2024-06-24T00:00:00"/>
        <d v="2024-11-13T00:00:00"/>
        <d v="2026-01-14T00:00:00"/>
        <d v="2024-06-30T00:00:00"/>
        <d v="2025-10-04T00:00:00"/>
        <d v="2025-04-17T00:00:00"/>
        <d v="2026-03-21T00:00:00"/>
        <d v="2025-04-06T00:00:00"/>
        <d v="2025-06-19T00:00:00"/>
        <d v="2024-12-08T00:00:00"/>
        <d v="2026-07-27T00:00:00"/>
        <d v="2024-05-10T00:00:00"/>
        <d v="2026-01-26T00:00:00"/>
        <d v="2024-06-18T00:00:00"/>
        <d v="2024-09-01T00:00:00"/>
        <d v="2025-05-29T00:00:00"/>
        <d v="2026-08-14T00:00:00"/>
        <d v="2025-03-23T00:00:00"/>
        <d v="2025-01-30T00:00:00"/>
        <d v="2024-04-23T00:00:00"/>
        <d v="2024-01-21T00:00:00"/>
        <d v="2026-01-22T00:00:00"/>
        <d v="2024-03-05T00:00:00"/>
        <d v="2025-07-10T00:00:00"/>
      </sharedItems>
      <fieldGroup par="15"/>
    </cacheField>
    <cacheField name="end_date" numFmtId="14">
      <sharedItems containsNonDate="0" containsDate="1" containsString="0" containsBlank="1" minDate="2023-12-02T00:00:00" maxDate="2026-09-26T00:00:00" count="38">
        <m/>
        <d v="2025-12-06T00:00:00"/>
        <d v="2025-10-04T00:00:00"/>
        <d v="2026-09-25T00:00:00"/>
        <d v="2025-12-13T00:00:00"/>
        <d v="2025-12-16T00:00:00"/>
        <d v="2025-05-22T00:00:00"/>
        <d v="2026-02-20T00:00:00"/>
        <d v="2025-06-09T00:00:00"/>
        <d v="2025-08-31T00:00:00"/>
        <d v="2024-08-08T00:00:00"/>
        <d v="2024-05-29T00:00:00"/>
        <d v="2026-09-18T00:00:00"/>
        <d v="2025-11-18T00:00:00"/>
        <d v="2025-08-22T00:00:00"/>
        <d v="2023-12-02T00:00:00"/>
        <d v="2025-10-25T00:00:00"/>
        <d v="2024-02-17T00:00:00"/>
        <d v="2024-09-19T00:00:00"/>
        <d v="2025-11-10T00:00:00"/>
        <d v="2026-02-28T00:00:00"/>
        <d v="2026-08-10T00:00:00"/>
        <d v="2025-09-29T00:00:00"/>
        <d v="2024-08-24T00:00:00"/>
        <d v="2024-08-14T00:00:00"/>
        <d v="2025-05-06T00:00:00"/>
        <d v="2025-01-01T00:00:00"/>
        <d v="2025-10-13T00:00:00"/>
        <d v="2025-09-23T00:00:00"/>
        <d v="2024-11-10T00:00:00"/>
        <d v="2025-01-02T00:00:00"/>
        <d v="2025-06-27T00:00:00"/>
        <d v="2024-11-09T00:00:00"/>
        <d v="2026-03-28T00:00:00"/>
        <d v="2025-02-09T00:00:00"/>
        <d v="2025-07-22T00:00:00"/>
        <d v="2026-03-25T00:00:00"/>
        <d v="2025-11-12T00:00:00"/>
      </sharedItems>
      <fieldGroup par="18"/>
    </cacheField>
    <cacheField name="payment_method" numFmtId="0">
      <sharedItems/>
    </cacheField>
    <cacheField name="updated_at" numFmtId="22">
      <sharedItems containsSemiMixedTypes="0" containsNonDate="0" containsDate="1" containsString="0" minDate="2024-04-21T16:51:58" maxDate="2026-09-27T20:49:47"/>
    </cacheField>
    <cacheField name="internal_notes" numFmtId="0">
      <sharedItems/>
    </cacheField>
    <cacheField name="Months (start_date)" numFmtId="0" databaseField="0">
      <fieldGroup base="8">
        <rangePr groupBy="months" startDate="2024-01-06T00:00:00" endDate="2062-11-0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62"/>
        </groupItems>
      </fieldGroup>
    </cacheField>
    <cacheField name="Quarters (start_date)" numFmtId="0" databaseField="0">
      <fieldGroup base="8">
        <rangePr groupBy="quarters" startDate="2024-01-06T00:00:00" endDate="2062-11-01T00:00:00"/>
        <groupItems count="6">
          <s v="&lt;1/6/2024"/>
          <s v="Qtr1"/>
          <s v="Qtr2"/>
          <s v="Qtr3"/>
          <s v="Qtr4"/>
          <s v="&gt;11/1/2062"/>
        </groupItems>
      </fieldGroup>
    </cacheField>
    <cacheField name="Years (start_date)" numFmtId="0" databaseField="0">
      <fieldGroup base="8">
        <rangePr groupBy="years" startDate="2024-01-06T00:00:00" endDate="2062-11-01T00:00:00"/>
        <groupItems count="41">
          <s v="&lt;1/6/2024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2061"/>
          <s v="2062"/>
          <s v="&gt;11/1/2062"/>
        </groupItems>
      </fieldGroup>
    </cacheField>
    <cacheField name="Months (end_date)" numFmtId="0" databaseField="0">
      <fieldGroup base="9">
        <rangePr groupBy="months" startDate="2023-12-02T00:00:00" endDate="2026-09-26T00:00:00"/>
        <groupItems count="14">
          <s v="&lt;12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6/2026"/>
        </groupItems>
      </fieldGroup>
    </cacheField>
    <cacheField name="Quarters (end_date)" numFmtId="0" databaseField="0">
      <fieldGroup base="9">
        <rangePr groupBy="quarters" startDate="2023-12-02T00:00:00" endDate="2026-09-26T00:00:00"/>
        <groupItems count="6">
          <s v="&lt;12/2/2023"/>
          <s v="Qtr1"/>
          <s v="Qtr2"/>
          <s v="Qtr3"/>
          <s v="Qtr4"/>
          <s v="&gt;9/26/2026"/>
        </groupItems>
      </fieldGroup>
    </cacheField>
    <cacheField name="Years (end_date)" numFmtId="0" databaseField="0">
      <fieldGroup base="9">
        <rangePr groupBy="years" startDate="2023-12-02T00:00:00" endDate="2026-09-26T00:00:00"/>
        <groupItems count="6">
          <s v="&lt;12/2/2023"/>
          <s v="2023"/>
          <s v="2024"/>
          <s v="2025"/>
          <s v="2026"/>
          <s v="&gt;9/2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ldeep soni" refreshedDate="46306.602174537038" backgroundQuery="1" createdVersion="8" refreshedVersion="8" minRefreshableVersion="3" recordCount="0" supportSubquery="1" supportAdvancedDrill="1" xr:uid="{B5EE493A-7F99-43BF-B6A6-4962A7095A29}">
  <cacheSource type="external" connectionId="3"/>
  <cacheFields count="2">
    <cacheField name="[Measures].[Sum of monthly_price]" caption="Sum of monthly_price" numFmtId="0" hierarchy="33" level="32767"/>
    <cacheField name="[subscriptions_raw 1].[status].[status]" caption="status" numFmtId="0" hierarchy="20" level="1">
      <sharedItems count="3">
        <s v="Active"/>
        <s v="Cancelled"/>
        <s v="Paused"/>
      </sharedItems>
    </cacheField>
  </cacheFields>
  <cacheHierarchies count="34">
    <cacheHierarchy uniqueName="[subscriptions_raw].[subscription_id]" caption="subscription_id" attribute="1" defaultMemberUniqueName="[subscriptions_raw].[subscription_id].[All]" allUniqueName="[subscriptions_raw].[subscription_id].[All]" dimensionUniqueName="[subscriptions_raw]" displayFolder="" count="0" memberValueDatatype="130" unbalanced="0"/>
    <cacheHierarchy uniqueName="[subscriptions_raw].[customer_id]" caption="customer_id" attribute="1" defaultMemberUniqueName="[subscriptions_raw].[customer_id].[All]" allUniqueName="[subscriptions_raw].[customer_id].[All]" dimensionUniqueName="[subscriptions_raw]" displayFolder="" count="0" memberValueDatatype="130" unbalanced="0"/>
    <cacheHierarchy uniqueName="[subscriptions_raw].[customer_name]" caption="customer_name" attribute="1" defaultMemberUniqueName="[subscriptions_raw].[customer_name].[All]" allUniqueName="[subscriptions_raw].[customer_name].[All]" dimensionUniqueName="[subscriptions_raw]" displayFolder="" count="0" memberValueDatatype="130" unbalanced="0"/>
    <cacheHierarchy uniqueName="[subscriptions_raw].[customer_email]" caption="customer_email" attribute="1" defaultMemberUniqueName="[subscriptions_raw].[customer_email].[All]" allUniqueName="[subscriptions_raw].[customer_email].[All]" dimensionUniqueName="[subscriptions_raw]" displayFolder="" count="0" memberValueDatatype="130" unbalanced="0"/>
    <cacheHierarchy uniqueName="[subscriptions_raw].[country]" caption="country" attribute="1" defaultMemberUniqueName="[subscriptions_raw].[country].[All]" allUniqueName="[subscriptions_raw].[country].[All]" dimensionUniqueName="[subscriptions_raw]" displayFolder="" count="0" memberValueDatatype="130" unbalanced="0"/>
    <cacheHierarchy uniqueName="[subscriptions_raw].[plan]" caption="plan" attribute="1" defaultMemberUniqueName="[subscriptions_raw].[plan].[All]" allUniqueName="[subscriptions_raw].[plan].[All]" dimensionUniqueName="[subscriptions_raw]" displayFolder="" count="0" memberValueDatatype="130" unbalanced="0"/>
    <cacheHierarchy uniqueName="[subscriptions_raw].[monthly_price]" caption="monthly_price" attribute="1" defaultMemberUniqueName="[subscriptions_raw].[monthly_price].[All]" allUniqueName="[subscriptions_raw].[monthly_price].[All]" dimensionUniqueName="[subscriptions_raw]" displayFolder="" count="0" memberValueDatatype="5" unbalanced="0"/>
    <cacheHierarchy uniqueName="[subscriptions_raw].[status]" caption="status" attribute="1" defaultMemberUniqueName="[subscriptions_raw].[status].[All]" allUniqueName="[subscriptions_raw].[status].[All]" dimensionUniqueName="[subscriptions_raw]" displayFolder="" count="0" memberValueDatatype="130" unbalanced="0"/>
    <cacheHierarchy uniqueName="[subscriptions_raw].[start_date]" caption="start_date" attribute="1" time="1" defaultMemberUniqueName="[subscriptions_raw].[start_date].[All]" allUniqueName="[subscriptions_raw].[start_date].[All]" dimensionUniqueName="[subscriptions_raw]" displayFolder="" count="0" memberValueDatatype="7" unbalanced="0"/>
    <cacheHierarchy uniqueName="[subscriptions_raw].[end_date]" caption="end_date" attribute="1" time="1" defaultMemberUniqueName="[subscriptions_raw].[end_date].[All]" allUniqueName="[subscriptions_raw].[end_date].[All]" dimensionUniqueName="[subscriptions_raw]" displayFolder="" count="0" memberValueDatatype="7" unbalanced="0"/>
    <cacheHierarchy uniqueName="[subscriptions_raw].[payment_method]" caption="payment_method" attribute="1" defaultMemberUniqueName="[subscriptions_raw].[payment_method].[All]" allUniqueName="[subscriptions_raw].[payment_method].[All]" dimensionUniqueName="[subscriptions_raw]" displayFolder="" count="0" memberValueDatatype="130" unbalanced="0"/>
    <cacheHierarchy uniqueName="[subscriptions_raw].[updated_at]" caption="updated_at" attribute="1" time="1" defaultMemberUniqueName="[subscriptions_raw].[updated_at].[All]" allUniqueName="[subscriptions_raw].[updated_at].[All]" dimensionUniqueName="[subscriptions_raw]" displayFolder="" count="0" memberValueDatatype="7" unbalanced="0"/>
    <cacheHierarchy uniqueName="[subscriptions_raw].[internal_notes]" caption="internal_notes" attribute="1" defaultMemberUniqueName="[subscriptions_raw].[internal_notes].[All]" allUniqueName="[subscriptions_raw].[internal_notes].[All]" dimensionUniqueName="[subscriptions_raw]" displayFolder="" count="0" memberValueDatatype="130" unbalanced="0"/>
    <cacheHierarchy uniqueName="[subscriptions_raw 1].[subscription_id]" caption="subscription_id" attribute="1" defaultMemberUniqueName="[subscriptions_raw 1].[subscription_id].[All]" allUniqueName="[subscriptions_raw 1].[subscription_id].[All]" dimensionUniqueName="[subscriptions_raw 1]" displayFolder="" count="0" memberValueDatatype="130" unbalanced="0"/>
    <cacheHierarchy uniqueName="[subscriptions_raw 1].[customer_id]" caption="customer_id" attribute="1" defaultMemberUniqueName="[subscriptions_raw 1].[customer_id].[All]" allUniqueName="[subscriptions_raw 1].[customer_id].[All]" dimensionUniqueName="[subscriptions_raw 1]" displayFolder="" count="0" memberValueDatatype="130" unbalanced="0"/>
    <cacheHierarchy uniqueName="[subscriptions_raw 1].[customer_name]" caption="customer_name" attribute="1" defaultMemberUniqueName="[subscriptions_raw 1].[customer_name].[All]" allUniqueName="[subscriptions_raw 1].[customer_name].[All]" dimensionUniqueName="[subscriptions_raw 1]" displayFolder="" count="0" memberValueDatatype="130" unbalanced="0"/>
    <cacheHierarchy uniqueName="[subscriptions_raw 1].[customer_email]" caption="customer_email" attribute="1" defaultMemberUniqueName="[subscriptions_raw 1].[customer_email].[All]" allUniqueName="[subscriptions_raw 1].[customer_email].[All]" dimensionUniqueName="[subscriptions_raw 1]" displayFolder="" count="0" memberValueDatatype="130" unbalanced="0"/>
    <cacheHierarchy uniqueName="[subscriptions_raw 1].[country]" caption="country" attribute="1" defaultMemberUniqueName="[subscriptions_raw 1].[country].[All]" allUniqueName="[subscriptions_raw 1].[country].[All]" dimensionUniqueName="[subscriptions_raw 1]" displayFolder="" count="0" memberValueDatatype="130" unbalanced="0"/>
    <cacheHierarchy uniqueName="[subscriptions_raw 1].[plan]" caption="plan" attribute="1" defaultMemberUniqueName="[subscriptions_raw 1].[plan].[All]" allUniqueName="[subscriptions_raw 1].[plan].[All]" dimensionUniqueName="[subscriptions_raw 1]" displayFolder="" count="0" memberValueDatatype="130" unbalanced="0"/>
    <cacheHierarchy uniqueName="[subscriptions_raw 1].[monthly_price]" caption="monthly_price" attribute="1" defaultMemberUniqueName="[subscriptions_raw 1].[monthly_price].[All]" allUniqueName="[subscriptions_raw 1].[monthly_price].[All]" dimensionUniqueName="[subscriptions_raw 1]" displayFolder="" count="0" memberValueDatatype="5" unbalanced="0"/>
    <cacheHierarchy uniqueName="[subscriptions_raw 1].[status]" caption="status" attribute="1" defaultMemberUniqueName="[subscriptions_raw 1].[status].[All]" allUniqueName="[subscriptions_raw 1].[status].[All]" dimensionUniqueName="[subscriptions_raw 1]" displayFolder="" count="2" memberValueDatatype="130" unbalanced="0">
      <fieldsUsage count="2">
        <fieldUsage x="-1"/>
        <fieldUsage x="1"/>
      </fieldsUsage>
    </cacheHierarchy>
    <cacheHierarchy uniqueName="[subscriptions_raw 1].[start_date]" caption="start_date" attribute="1" time="1" defaultMemberUniqueName="[subscriptions_raw 1].[start_date].[All]" allUniqueName="[subscriptions_raw 1].[start_date].[All]" dimensionUniqueName="[subscriptions_raw 1]" displayFolder="" count="2" memberValueDatatype="7" unbalanced="0"/>
    <cacheHierarchy uniqueName="[subscriptions_raw 1].[end_date]" caption="end_date" attribute="1" time="1" defaultMemberUniqueName="[subscriptions_raw 1].[end_date].[All]" allUniqueName="[subscriptions_raw 1].[end_date].[All]" dimensionUniqueName="[subscriptions_raw 1]" displayFolder="" count="2" memberValueDatatype="7" unbalanced="0"/>
    <cacheHierarchy uniqueName="[subscriptions_raw 1].[payment_method]" caption="payment_method" attribute="1" defaultMemberUniqueName="[subscriptions_raw 1].[payment_method].[All]" allUniqueName="[subscriptions_raw 1].[payment_method].[All]" dimensionUniqueName="[subscriptions_raw 1]" displayFolder="" count="0" memberValueDatatype="130" unbalanced="0"/>
    <cacheHierarchy uniqueName="[subscriptions_raw 1].[updated_at]" caption="updated_at" attribute="1" time="1" defaultMemberUniqueName="[subscriptions_raw 1].[updated_at].[All]" allUniqueName="[subscriptions_raw 1].[updated_at].[All]" dimensionUniqueName="[subscriptions_raw 1]" displayFolder="" count="0" memberValueDatatype="7" unbalanced="0"/>
    <cacheHierarchy uniqueName="[subscriptions_raw 1].[internal_notes]" caption="internal_notes" attribute="1" defaultMemberUniqueName="[subscriptions_raw 1].[internal_notes].[All]" allUniqueName="[subscriptions_raw 1].[internal_notes].[All]" dimensionUniqueName="[subscriptions_raw 1]" displayFolder="" count="0" memberValueDatatype="130" unbalanced="0"/>
    <cacheHierarchy uniqueName="[subscriptions_raw 1].[start_date (Year)]" caption="start_date (Year)" attribute="1" defaultMemberUniqueName="[subscriptions_raw 1].[start_date (Year)].[All]" allUniqueName="[subscriptions_raw 1].[start_date (Year)].[All]" dimensionUniqueName="[subscriptions_raw 1]" displayFolder="" count="2" memberValueDatatype="130" unbalanced="0"/>
    <cacheHierarchy uniqueName="[subscriptions_raw 1].[start_date (Quarter)]" caption="start_date (Quarter)" attribute="1" defaultMemberUniqueName="[subscriptions_raw 1].[start_date (Quarter)].[All]" allUniqueName="[subscriptions_raw 1].[start_date (Quarter)].[All]" dimensionUniqueName="[subscriptions_raw 1]" displayFolder="" count="2" memberValueDatatype="130" unbalanced="0"/>
    <cacheHierarchy uniqueName="[subscriptions_raw 1].[start_date (Month)]" caption="start_date (Month)" attribute="1" defaultMemberUniqueName="[subscriptions_raw 1].[start_date (Month)].[All]" allUniqueName="[subscriptions_raw 1].[start_date (Month)].[All]" dimensionUniqueName="[subscriptions_raw 1]" displayFolder="" count="2" memberValueDatatype="130" unbalanced="0"/>
    <cacheHierarchy uniqueName="[subscriptions_raw 1].[start_date (Month Index)]" caption="start_date (Month Index)" attribute="1" defaultMemberUniqueName="[subscriptions_raw 1].[start_date (Month Index)].[All]" allUniqueName="[subscriptions_raw 1].[start_date (Month Index)].[All]" dimensionUniqueName="[subscriptions_raw 1]" displayFolder="" count="0" memberValueDatatype="20" unbalanced="0" hidden="1"/>
    <cacheHierarchy uniqueName="[Measures].[__XL_Count subscriptions_raw]" caption="__XL_Count subscriptions_raw" measure="1" displayFolder="" measureGroup="subscriptions_raw" count="0" hidden="1"/>
    <cacheHierarchy uniqueName="[Measures].[__XL_Count subscriptions_raw 1]" caption="__XL_Count subscriptions_raw 1" measure="1" displayFolder="" measureGroup="subscriptions_raw 1" count="0" hidden="1"/>
    <cacheHierarchy uniqueName="[Measures].[__No measures defined]" caption="__No measures defined" measure="1" displayFolder="" count="0" hidden="1"/>
    <cacheHierarchy uniqueName="[Measures].[Sum of monthly_price]" caption="Sum of monthly_price" measure="1" displayFolder="" measureGroup="subscriptions_raw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measure="1" name="Measures" uniqueName="[Measures]" caption="Measures"/>
    <dimension name="subscriptions_raw" uniqueName="[subscriptions_raw]" caption="subscriptions_raw"/>
    <dimension name="subscriptions_raw 1" uniqueName="[subscriptions_raw 1]" caption="subscriptions_raw 1"/>
  </dimensions>
  <measureGroups count="2">
    <measureGroup name="subscriptions_raw" caption="subscriptions_raw"/>
    <measureGroup name="subscriptions_raw 1" caption="subscriptions_raw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SUB-1001"/>
    <s v="CUST-8067"/>
    <s v="Amy Taylor"/>
    <s v="amy.taylor5@example.com"/>
    <x v="0"/>
    <x v="0"/>
    <n v="0"/>
    <x v="0"/>
    <x v="0"/>
    <x v="0"/>
    <s v="Direct_Debit"/>
    <d v="2026-02-26T18:19:43"/>
    <s v=""/>
  </r>
  <r>
    <s v="SUB-1002"/>
    <s v="CUST-7745"/>
    <s v="Liam Rossi"/>
    <s v="liam.rossi@example.com"/>
    <x v="1"/>
    <x v="1"/>
    <n v="0"/>
    <x v="1"/>
    <x v="1"/>
    <x v="1"/>
    <s v="Card"/>
    <d v="2026-03-01T14:39:19"/>
    <s v=""/>
  </r>
  <r>
    <s v="SUB-1003"/>
    <s v="CUST-8254"/>
    <s v="Chloe Rossi"/>
    <s v="chloe.rossi@example.com"/>
    <x v="0"/>
    <x v="2"/>
    <n v="19.989999999999998"/>
    <x v="0"/>
    <x v="2"/>
    <x v="0"/>
    <s v="Card"/>
    <d v="2024-10-30T01:48:56"/>
    <s v=""/>
  </r>
  <r>
    <s v="SUB-1004"/>
    <s v="CUST-5100"/>
    <s v="Jack Hughes"/>
    <s v="jack.hughes@example.com"/>
    <x v="2"/>
    <x v="2"/>
    <n v="19.989999999999998"/>
    <x v="1"/>
    <x v="3"/>
    <x v="2"/>
    <s v="Card"/>
    <d v="2026-01-25T20:37:10"/>
    <s v=""/>
  </r>
  <r>
    <s v="SUB-1005"/>
    <s v="CUST-2653"/>
    <s v="Leo Hughes"/>
    <s v="leo.hughes@example.com"/>
    <x v="1"/>
    <x v="2"/>
    <n v="19.989999999999998"/>
    <x v="0"/>
    <x v="4"/>
    <x v="0"/>
    <s v="Direct_Debit"/>
    <d v="2026-06-25T00:25:34"/>
    <s v="requested invoice"/>
  </r>
  <r>
    <s v="SUB-1006"/>
    <s v="CUST-6990"/>
    <s v="Sara Hughes"/>
    <s v="sara.hughes@example.com"/>
    <x v="3"/>
    <x v="0"/>
    <n v="9.99"/>
    <x v="1"/>
    <x v="5"/>
    <x v="3"/>
    <s v="Paypal"/>
    <d v="2026-09-26T14:53:41"/>
    <s v=""/>
  </r>
  <r>
    <s v="SUB-1007"/>
    <s v="CUST-8904"/>
    <s v="Luca Fischer"/>
    <s v="luca.fischer.example.com"/>
    <x v="1"/>
    <x v="2"/>
    <n v="19.989999999999998"/>
    <x v="1"/>
    <x v="6"/>
    <x v="4"/>
    <s v="Paypal"/>
    <d v="2026-01-03T17:22:46"/>
    <s v="migrated from legacy billing"/>
  </r>
  <r>
    <s v="SUB-1008"/>
    <s v="CUST-4577"/>
    <s v="Hugo Wagner"/>
    <s v="hugo.wagner@example.com"/>
    <x v="2"/>
    <x v="1"/>
    <n v="0"/>
    <x v="2"/>
    <x v="7"/>
    <x v="0"/>
    <s v="Card"/>
    <d v="2026-08-25T18:20:42"/>
    <s v=""/>
  </r>
  <r>
    <s v="SUB-1009"/>
    <s v="CUST-5509"/>
    <s v="Max Fischer"/>
    <s v="max.fischer@example.com"/>
    <x v="1"/>
    <x v="1"/>
    <n v="0"/>
    <x v="1"/>
    <x v="8"/>
    <x v="5"/>
    <s v="Direct_Debit"/>
    <d v="2026-05-20T02:40:57"/>
    <s v=""/>
  </r>
  <r>
    <s v="SUB-1010"/>
    <s v="CUST-7574"/>
    <s v="Emma Greco"/>
    <s v="emma.greco@example.com"/>
    <x v="0"/>
    <x v="2"/>
    <n v="19.989999999999998"/>
    <x v="1"/>
    <x v="9"/>
    <x v="6"/>
    <s v="Card"/>
    <d v="2025-07-10T08:14:32"/>
    <s v=""/>
  </r>
  <r>
    <s v="SUB-1011"/>
    <s v="CUST-7584"/>
    <s v="Leo Fischer"/>
    <s v="leo.fischer@example.com"/>
    <x v="1"/>
    <x v="2"/>
    <n v="19.989999999999998"/>
    <x v="1"/>
    <x v="10"/>
    <x v="0"/>
    <s v="Direct_Debit"/>
    <d v="2026-08-30T05:22:36"/>
    <s v=""/>
  </r>
  <r>
    <s v="SUB-1012"/>
    <s v="CUST-4157"/>
    <s v="Amy Wagner"/>
    <s v="amy.wagner@example.com"/>
    <x v="2"/>
    <x v="0"/>
    <n v="9.99"/>
    <x v="0"/>
    <x v="11"/>
    <x v="0"/>
    <s v="Unknown"/>
    <d v="2026-03-19T09:09:22"/>
    <s v=""/>
  </r>
  <r>
    <s v="SUB-1013"/>
    <s v="CUST-9811"/>
    <s v="Noah Kelly"/>
    <s v="noah.kelly83@example.com"/>
    <x v="0"/>
    <x v="0"/>
    <n v="9.99"/>
    <x v="0"/>
    <x v="12"/>
    <x v="0"/>
    <s v="Unknown"/>
    <d v="2026-09-12T23:15:16"/>
    <s v=""/>
  </r>
  <r>
    <s v="SUB-1014"/>
    <s v="CUST-3961"/>
    <s v="Leo Wagner"/>
    <s v="leo.wagner@example.com"/>
    <x v="1"/>
    <x v="1"/>
    <n v="0"/>
    <x v="0"/>
    <x v="13"/>
    <x v="0"/>
    <s v="Unknown"/>
    <d v="2026-08-19T04:04:29"/>
    <s v=""/>
  </r>
  <r>
    <s v="SUB-1015"/>
    <s v="CUST-3352"/>
    <s v="Sofia Clarke"/>
    <s v="sofia.clarke10@example.com"/>
    <x v="2"/>
    <x v="2"/>
    <n v="19.989999999999998"/>
    <x v="0"/>
    <x v="14"/>
    <x v="0"/>
    <s v="Card"/>
    <d v="2026-08-15T03:43:48"/>
    <s v=""/>
  </r>
  <r>
    <s v="SUB-1016"/>
    <s v="CUST-5588"/>
    <s v="Mia Doyle"/>
    <s v="mia.doyle98@example.com"/>
    <x v="3"/>
    <x v="2"/>
    <n v="19.989999999999998"/>
    <x v="1"/>
    <x v="15"/>
    <x v="7"/>
    <s v="Direct_Debit"/>
    <d v="2026-08-14T08:09:21"/>
    <s v="VIP"/>
  </r>
  <r>
    <s v="SUB-1017"/>
    <s v="CUST-7169"/>
    <s v="Sofia Wagner"/>
    <s v="sofia.wagner4@example.com"/>
    <x v="0"/>
    <x v="0"/>
    <n v="9.99"/>
    <x v="0"/>
    <x v="16"/>
    <x v="0"/>
    <s v="Card"/>
    <d v="2024-04-21T16:51:58"/>
    <s v=""/>
  </r>
  <r>
    <s v="SUB-1018"/>
    <s v="CUST-9663"/>
    <s v="Karl Wagner"/>
    <s v="karl.wagner11@example.com"/>
    <x v="0"/>
    <x v="1"/>
    <n v="0"/>
    <x v="1"/>
    <x v="17"/>
    <x v="8"/>
    <s v="Direct_Debit"/>
    <d v="2026-08-30T13:21:49"/>
    <s v=""/>
  </r>
  <r>
    <s v="SUB-1019"/>
    <s v="CUST-9076"/>
    <s v="Hugo Clarke"/>
    <s v="hugo.clarke@example.com"/>
    <x v="0"/>
    <x v="1"/>
    <n v="0"/>
    <x v="1"/>
    <x v="18"/>
    <x v="9"/>
    <s v="Paypal"/>
    <d v="2025-11-15T10:38:31"/>
    <s v="support ticket open"/>
  </r>
  <r>
    <s v="SUB-1020"/>
    <s v="CUST-5789"/>
    <s v="Nina Taylor"/>
    <s v="nina.taylor@example.com"/>
    <x v="0"/>
    <x v="1"/>
    <n v="0"/>
    <x v="0"/>
    <x v="19"/>
    <x v="0"/>
    <s v="Card"/>
    <d v="2025-05-05T13:16:34"/>
    <s v=""/>
  </r>
  <r>
    <s v="SUB-1021"/>
    <s v="CUST-9588"/>
    <s v="Karl Doyle"/>
    <s v="karl.doyle@example.com"/>
    <x v="2"/>
    <x v="2"/>
    <n v="19.989999999999998"/>
    <x v="0"/>
    <x v="20"/>
    <x v="0"/>
    <s v="Paypal"/>
    <d v="2025-01-17T04:51:58"/>
    <s v="call back re refund"/>
  </r>
  <r>
    <s v="SUB-1022"/>
    <s v="CUST-8423"/>
    <s v="Finn Becker"/>
    <s v="finn.becker@example.com"/>
    <x v="0"/>
    <x v="1"/>
    <n v="0"/>
    <x v="0"/>
    <x v="21"/>
    <x v="0"/>
    <s v="Paypal"/>
    <d v="2025-09-12T13:25:51"/>
    <s v=""/>
  </r>
  <r>
    <s v="SUB-1023"/>
    <s v="CUST-6744"/>
    <s v="Dario Doyle"/>
    <s v="dario.doyle86@example.com"/>
    <x v="2"/>
    <x v="0"/>
    <n v="9.99"/>
    <x v="0"/>
    <x v="22"/>
    <x v="0"/>
    <s v="Unknown"/>
    <d v="2024-11-12T16:39:46"/>
    <s v=""/>
  </r>
  <r>
    <s v="SUB-1024"/>
    <s v="CUST-2656"/>
    <s v="Liam Murphy"/>
    <s v="liam.murphy@example.com"/>
    <x v="2"/>
    <x v="0"/>
    <n v="9.99"/>
    <x v="1"/>
    <x v="23"/>
    <x v="10"/>
    <s v="Direct_Debit"/>
    <d v="2024-11-22T10:39:37"/>
    <s v=""/>
  </r>
  <r>
    <s v="SUB-1025"/>
    <s v="CUST-7073"/>
    <s v="Ben Evans"/>
    <s v="ben.evans@example.com"/>
    <x v="3"/>
    <x v="2"/>
    <n v="19.989999999999998"/>
    <x v="0"/>
    <x v="24"/>
    <x v="0"/>
    <s v="Card"/>
    <d v="2026-09-25T01:22:34"/>
    <s v=""/>
  </r>
  <r>
    <s v="SUB-1026"/>
    <s v="CUST-4457"/>
    <s v="Chloe Becker"/>
    <s v="chloe.becker87@example.com"/>
    <x v="1"/>
    <x v="0"/>
    <n v="0"/>
    <x v="0"/>
    <x v="25"/>
    <x v="0"/>
    <s v="Card"/>
    <d v="2024-09-03T16:36:12"/>
    <s v="promo SUMMER25"/>
  </r>
  <r>
    <s v="SUB-1027"/>
    <s v="CUST-2563"/>
    <s v="Ines Taylor"/>
    <s v="ines.taylor11@example.com"/>
    <x v="0"/>
    <x v="1"/>
    <n v="0"/>
    <x v="0"/>
    <x v="26"/>
    <x v="0"/>
    <s v="Direct_Debit"/>
    <d v="2026-08-30T22:31:48"/>
    <s v=""/>
  </r>
  <r>
    <s v="SUB-1028"/>
    <s v="CUST-7471"/>
    <s v="Sara Doyle"/>
    <s v="sara.doyle@example.com"/>
    <x v="3"/>
    <x v="0"/>
    <n v="9.99"/>
    <x v="2"/>
    <x v="27"/>
    <x v="0"/>
    <s v="Paypal"/>
    <d v="2026-02-24T06:24:43"/>
    <s v=""/>
  </r>
  <r>
    <s v="SUB-1029"/>
    <s v="CUST-3725"/>
    <s v="Noah Bianchi"/>
    <s v="noah.bianchi@example.com"/>
    <x v="0"/>
    <x v="2"/>
    <n v="19.989999999999998"/>
    <x v="1"/>
    <x v="2"/>
    <x v="11"/>
    <s v="Paypal"/>
    <d v="2025-05-01T03:19:44"/>
    <s v=""/>
  </r>
  <r>
    <s v="SUB-1031"/>
    <s v="CUST-9741"/>
    <s v="Amy Ferrari"/>
    <s v="amy.ferrari22@example.com"/>
    <x v="0"/>
    <x v="0"/>
    <n v="9.99"/>
    <x v="1"/>
    <x v="1"/>
    <x v="9"/>
    <s v="Direct_Debit"/>
    <d v="2025-12-24T18:34:23"/>
    <s v=""/>
  </r>
  <r>
    <s v="SUB-1032"/>
    <s v="CUST-9643"/>
    <s v="Iris Hughes"/>
    <s v="iris.hughes76@example.com"/>
    <x v="0"/>
    <x v="1"/>
    <n v="0"/>
    <x v="0"/>
    <x v="28"/>
    <x v="0"/>
    <s v="Paypal"/>
    <d v="2026-09-10T12:39:32"/>
    <s v="requested invoice"/>
  </r>
  <r>
    <s v="SUB-1033"/>
    <s v="CUST-7084"/>
    <s v="Mia Evans"/>
    <s v="mia.evans@example.com"/>
    <x v="0"/>
    <x v="0"/>
    <n v="9.99"/>
    <x v="0"/>
    <x v="29"/>
    <x v="12"/>
    <s v="Paypal"/>
    <d v="2026-07-29T23:16:33"/>
    <s v=""/>
  </r>
  <r>
    <s v="SUB-1034"/>
    <s v="CUST-8571"/>
    <s v="Hugo Walsh"/>
    <s v="hugo.walsh@example.com"/>
    <x v="2"/>
    <x v="1"/>
    <n v="0"/>
    <x v="2"/>
    <x v="30"/>
    <x v="0"/>
    <s v="Unknown"/>
    <d v="2026-06-16T09:05:10"/>
    <s v=""/>
  </r>
  <r>
    <s v="SUB-1036"/>
    <s v="CUST-4286"/>
    <s v="Oscar Rossi"/>
    <s v="oscar.rossi@example.com"/>
    <x v="2"/>
    <x v="0"/>
    <n v="9.99"/>
    <x v="0"/>
    <x v="31"/>
    <x v="0"/>
    <s v="Card"/>
    <d v="2026-05-12T08:01:12"/>
    <s v=""/>
  </r>
  <r>
    <s v="SUB-1037"/>
    <s v="CUST-4174"/>
    <s v="Iris Doyle"/>
    <s v="iris.doyle@example.com"/>
    <x v="3"/>
    <x v="1"/>
    <n v="0"/>
    <x v="2"/>
    <x v="32"/>
    <x v="0"/>
    <s v="Card"/>
    <d v="2026-05-07T01:42:40"/>
    <s v=""/>
  </r>
  <r>
    <s v="SUB-1038"/>
    <s v="CUST-4086"/>
    <s v="Hugo Wagner"/>
    <s v="hugo.wagner57@example.com"/>
    <x v="3"/>
    <x v="2"/>
    <n v="19.989999999999998"/>
    <x v="0"/>
    <x v="33"/>
    <x v="0"/>
    <s v="Card"/>
    <d v="2026-08-21T08:05:15"/>
    <s v="promo SUMMER25"/>
  </r>
  <r>
    <s v="SUB-1039"/>
    <s v="CUST-8946"/>
    <s v="Ben Becker"/>
    <s v="ben.becker.example.com"/>
    <x v="0"/>
    <x v="1"/>
    <n v="0"/>
    <x v="1"/>
    <x v="34"/>
    <x v="13"/>
    <s v="Card"/>
    <d v="2026-03-14T15:12:23"/>
    <s v=""/>
  </r>
  <r>
    <s v="SUB-1040"/>
    <s v="CUST-9703"/>
    <s v="Ben Byrne"/>
    <s v="ben.byrne@example.com"/>
    <x v="0"/>
    <x v="2"/>
    <n v="19.989999999999998"/>
    <x v="0"/>
    <x v="35"/>
    <x v="0"/>
    <s v="Unknown"/>
    <d v="2025-04-11T08:12:34"/>
    <s v=""/>
  </r>
  <r>
    <s v="SUB-1041"/>
    <s v="CUST-7363"/>
    <s v="Marco Romano"/>
    <s v="marco.romano@example.com"/>
    <x v="3"/>
    <x v="0"/>
    <n v="9.99"/>
    <x v="0"/>
    <x v="36"/>
    <x v="0"/>
    <s v="Card"/>
    <d v="2026-09-02T13:44:38"/>
    <s v=""/>
  </r>
  <r>
    <s v="SUB-1042"/>
    <s v="CUST-7072"/>
    <s v="Mia Greco"/>
    <s v="mia.greco62@example.com"/>
    <x v="1"/>
    <x v="1"/>
    <n v="0"/>
    <x v="0"/>
    <x v="37"/>
    <x v="14"/>
    <s v="Card"/>
    <d v="2025-12-10T10:16:04"/>
    <s v=""/>
  </r>
  <r>
    <s v="SUB-1043"/>
    <s v="CUST-2596"/>
    <s v="Oscar Becker"/>
    <s v="oscar.becker@example.com"/>
    <x v="1"/>
    <x v="1"/>
    <n v="0"/>
    <x v="2"/>
    <x v="38"/>
    <x v="0"/>
    <s v="Card"/>
    <d v="2026-08-27T03:23:40"/>
    <s v=""/>
  </r>
  <r>
    <s v="SUB-1044"/>
    <s v="CUST-3792"/>
    <s v="Mia Romano"/>
    <s v="mia.romano@example.com"/>
    <x v="1"/>
    <x v="1"/>
    <n v="0"/>
    <x v="1"/>
    <x v="39"/>
    <x v="15"/>
    <s v="Card"/>
    <d v="2026-06-12T14:51:52"/>
    <s v=""/>
  </r>
  <r>
    <s v="SUB-1045"/>
    <s v="CUST-6877"/>
    <s v="Paul Evans"/>
    <s v="paul.evans@example.com"/>
    <x v="2"/>
    <x v="1"/>
    <n v="0"/>
    <x v="0"/>
    <x v="40"/>
    <x v="0"/>
    <s v="Unknown"/>
    <d v="2026-06-05T18:09:59"/>
    <s v=""/>
  </r>
  <r>
    <s v="SUB-1046"/>
    <s v="CUST-4123"/>
    <s v="Dario Greco"/>
    <s v="dario.greco56@example.com"/>
    <x v="3"/>
    <x v="0"/>
    <n v="9.99"/>
    <x v="0"/>
    <x v="41"/>
    <x v="0"/>
    <s v="Paypal"/>
    <d v="2026-07-24T20:21:52"/>
    <s v=""/>
  </r>
  <r>
    <s v="SUB-1047"/>
    <s v="CUST-4751"/>
    <s v="Julia Clarke"/>
    <s v="julia.clarke@example.com"/>
    <x v="0"/>
    <x v="0"/>
    <n v="9.99"/>
    <x v="0"/>
    <x v="42"/>
    <x v="0"/>
    <s v="Card"/>
    <d v="2025-12-12T13:10:02"/>
    <s v="VIP"/>
  </r>
  <r>
    <s v="SUB-1048"/>
    <s v="CUST-5816"/>
    <s v="Oscar Romano"/>
    <s v="oscar.romano@example.com"/>
    <x v="0"/>
    <x v="2"/>
    <n v="19.989999999999998"/>
    <x v="0"/>
    <x v="43"/>
    <x v="0"/>
    <s v="Card"/>
    <d v="2025-07-31T15:40:20"/>
    <s v=""/>
  </r>
  <r>
    <s v="SUB-1049"/>
    <s v="CUST-4881"/>
    <s v="Elena Weber"/>
    <s v="elena.weber@example.com"/>
    <x v="0"/>
    <x v="2"/>
    <n v="19.989999999999998"/>
    <x v="1"/>
    <x v="44"/>
    <x v="16"/>
    <s v="Card"/>
    <d v="2026-03-25T10:56:20"/>
    <s v=""/>
  </r>
  <r>
    <s v="SUB-1050"/>
    <s v="CUST-4235"/>
    <s v="Iris Byrne"/>
    <s v="iris.byrne70@example.com"/>
    <x v="3"/>
    <x v="2"/>
    <n v="19.989999999999998"/>
    <x v="1"/>
    <x v="45"/>
    <x v="3"/>
    <s v="Card"/>
    <d v="2026-09-25T02:06:48"/>
    <s v=""/>
  </r>
  <r>
    <s v="SUB-1051"/>
    <s v="CUST-9429"/>
    <s v="Ben Romano"/>
    <s v="ben.romano@example.com"/>
    <x v="3"/>
    <x v="2"/>
    <n v="19.989999999999998"/>
    <x v="2"/>
    <x v="46"/>
    <x v="0"/>
    <s v="Card"/>
    <d v="2026-05-06T04:30:52"/>
    <s v=""/>
  </r>
  <r>
    <s v="SUB-1052"/>
    <s v="CUST-4677"/>
    <s v="Sofia Byrne"/>
    <s v="sofia.byrne@example.com"/>
    <x v="0"/>
    <x v="1"/>
    <n v="0"/>
    <x v="0"/>
    <x v="47"/>
    <x v="0"/>
    <s v="Card"/>
    <d v="2025-09-21T11:25:29"/>
    <s v=""/>
  </r>
  <r>
    <s v="SUB-1053"/>
    <s v="CUST-2562"/>
    <s v="Iris Byrne"/>
    <s v="iris.byrne@example.com"/>
    <x v="0"/>
    <x v="0"/>
    <n v="9.99"/>
    <x v="1"/>
    <x v="48"/>
    <x v="17"/>
    <s v="Paypal"/>
    <d v="2026-02-07T05:35:14"/>
    <s v="migrated from legacy billing"/>
  </r>
  <r>
    <s v="SUB-1054"/>
    <s v="CUST-9764"/>
    <s v="Oscar Becker"/>
    <s v="oscar.becker4@example.com"/>
    <x v="0"/>
    <x v="1"/>
    <n v="0"/>
    <x v="0"/>
    <x v="49"/>
    <x v="0"/>
    <s v="Unknown"/>
    <d v="2026-08-14T15:29:09"/>
    <s v=""/>
  </r>
  <r>
    <s v="SUB-1055"/>
    <s v="CUST-2885"/>
    <s v="Jack Walsh"/>
    <s v="jack.walsh79@example.com"/>
    <x v="2"/>
    <x v="2"/>
    <n v="19.989999999999998"/>
    <x v="1"/>
    <x v="50"/>
    <x v="0"/>
    <s v="Card"/>
    <d v="2026-09-26T04:27:50"/>
    <s v=""/>
  </r>
  <r>
    <s v="SUB-1056"/>
    <s v="CUST-2834"/>
    <s v="Ben Romano"/>
    <s v="ben.romano52@example.com"/>
    <x v="3"/>
    <x v="1"/>
    <n v="0"/>
    <x v="0"/>
    <x v="51"/>
    <x v="0"/>
    <s v="Paypal"/>
    <d v="2026-06-27T13:28:37"/>
    <s v=""/>
  </r>
  <r>
    <s v="SUB-1057"/>
    <s v="CUST-7304"/>
    <s v="Leo Taylor"/>
    <s v="leo.taylor@example.com"/>
    <x v="0"/>
    <x v="0"/>
    <n v="9.99"/>
    <x v="0"/>
    <x v="52"/>
    <x v="0"/>
    <s v="Card"/>
    <d v="2025-12-06T06:27:44"/>
    <s v=""/>
  </r>
  <r>
    <s v="SUB-1058"/>
    <s v="CUST-8011"/>
    <s v="Noah Byrne"/>
    <s v="noah.byrne48@example.com"/>
    <x v="0"/>
    <x v="2"/>
    <n v="19.989999999999998"/>
    <x v="0"/>
    <x v="9"/>
    <x v="0"/>
    <s v="Card"/>
    <d v="2025-07-29T13:24:05"/>
    <s v=""/>
  </r>
  <r>
    <s v="SUB-1059"/>
    <s v="CUST-8805"/>
    <s v="Max Doyle"/>
    <s v="max.doyle@example.com"/>
    <x v="2"/>
    <x v="0"/>
    <n v="9.99"/>
    <x v="1"/>
    <x v="53"/>
    <x v="18"/>
    <s v="Direct_Debit"/>
    <d v="2025-11-16T15:35:57"/>
    <s v=""/>
  </r>
  <r>
    <s v="SUB-1060"/>
    <s v="CUST-3489"/>
    <s v="Oscar Fischer"/>
    <s v="oscar.fischer74@example.com"/>
    <x v="2"/>
    <x v="2"/>
    <n v="19.989999999999998"/>
    <x v="0"/>
    <x v="54"/>
    <x v="0"/>
    <s v="Card"/>
    <d v="2026-02-20T14:25:00"/>
    <s v=""/>
  </r>
  <r>
    <s v="SUB-1061"/>
    <s v="CUST-2701"/>
    <s v="Nina Ferrari"/>
    <s v="nina.ferrari78@example.com"/>
    <x v="2"/>
    <x v="2"/>
    <n v="19.989999999999998"/>
    <x v="0"/>
    <x v="55"/>
    <x v="19"/>
    <s v="Card"/>
    <d v="2026-04-24T16:22:09"/>
    <s v=""/>
  </r>
  <r>
    <s v="SUB-1062"/>
    <s v="CUST-4410"/>
    <s v="Ella Evans"/>
    <s v="ella.evans@example.com"/>
    <x v="0"/>
    <x v="0"/>
    <n v="0"/>
    <x v="0"/>
    <x v="56"/>
    <x v="0"/>
    <s v="Card"/>
    <d v="2026-08-03T07:57:42"/>
    <s v="support ticket open"/>
  </r>
  <r>
    <s v="SUB-1064"/>
    <s v="CUST-3772"/>
    <s v="Oscar Taylor"/>
    <s v="oscar.taylor@example.com"/>
    <x v="0"/>
    <x v="0"/>
    <n v="9.99"/>
    <x v="1"/>
    <x v="12"/>
    <x v="3"/>
    <s v="Paypal"/>
    <d v="2026-09-25T20:08:02"/>
    <s v=""/>
  </r>
  <r>
    <s v="SUB-1065"/>
    <s v="CUST-4476"/>
    <s v="Ella Greco"/>
    <s v="ella.greco@example.com"/>
    <x v="0"/>
    <x v="2"/>
    <n v="19.989999999999998"/>
    <x v="1"/>
    <x v="57"/>
    <x v="0"/>
    <s v="Card"/>
    <d v="2026-05-13T20:59:59"/>
    <s v="migrated from legacy billing"/>
  </r>
  <r>
    <s v="SUB-1066"/>
    <s v="CUST-2100"/>
    <s v="Liam Doyle"/>
    <s v="liam.doyle39@example.com"/>
    <x v="0"/>
    <x v="2"/>
    <n v="19.989999999999998"/>
    <x v="1"/>
    <x v="58"/>
    <x v="3"/>
    <s v="Card"/>
    <d v="2026-09-26T10:10:49"/>
    <s v=""/>
  </r>
  <r>
    <s v="SUB-1067"/>
    <s v="CUST-6028"/>
    <s v="Nina Walsh"/>
    <s v="nina.walsh@example.com"/>
    <x v="0"/>
    <x v="2"/>
    <n v="19.989999999999998"/>
    <x v="0"/>
    <x v="59"/>
    <x v="0"/>
    <s v="Card"/>
    <d v="2026-08-21T05:25:46"/>
    <s v=""/>
  </r>
  <r>
    <s v="SUB-1068"/>
    <s v="CUST-6966"/>
    <s v="Emma Bianchi"/>
    <s v="emma.bianchi@example.com"/>
    <x v="1"/>
    <x v="1"/>
    <n v="0"/>
    <x v="0"/>
    <x v="60"/>
    <x v="0"/>
    <s v="Card"/>
    <d v="2026-01-16T07:06:47"/>
    <s v=""/>
  </r>
  <r>
    <s v="SUB-1069"/>
    <s v="CUST-2493"/>
    <s v="Elena Fischer"/>
    <s v="elena.fischer@example.com"/>
    <x v="3"/>
    <x v="2"/>
    <n v="19.989999999999998"/>
    <x v="2"/>
    <x v="61"/>
    <x v="0"/>
    <s v="Paypal"/>
    <d v="2026-06-05T20:15:52"/>
    <s v="VIP"/>
  </r>
  <r>
    <s v="SUB-1071"/>
    <s v="CUST-4167"/>
    <s v="Oscar Kelly"/>
    <s v="oscar.kelly@example.com"/>
    <x v="0"/>
    <x v="2"/>
    <n v="19.989999999999998"/>
    <x v="0"/>
    <x v="62"/>
    <x v="20"/>
    <s v="Paypal"/>
    <d v="2026-08-03T17:57:46"/>
    <s v=""/>
  </r>
  <r>
    <s v="SUB-1072"/>
    <s v="CUST-2584"/>
    <s v="Hugo Becker"/>
    <s v="hugo.becker@example.com"/>
    <x v="1"/>
    <x v="0"/>
    <n v="9.99"/>
    <x v="1"/>
    <x v="63"/>
    <x v="3"/>
    <s v="Card"/>
    <d v="2026-09-27T09:43:02"/>
    <s v=""/>
  </r>
  <r>
    <s v="SUB-1073"/>
    <s v="CUST-6099"/>
    <s v="Dario Weber"/>
    <s v="dario.weber@example.com"/>
    <x v="2"/>
    <x v="1"/>
    <n v="0"/>
    <x v="1"/>
    <x v="64"/>
    <x v="21"/>
    <s v="Card"/>
    <d v="2026-09-21T12:03:07"/>
    <s v="migrated from legacy billing"/>
  </r>
  <r>
    <s v="SUB-1074"/>
    <s v="CUST-8848"/>
    <s v="Lena Byrne"/>
    <s v="lena.byrne@example.com"/>
    <x v="2"/>
    <x v="0"/>
    <n v="9.99"/>
    <x v="0"/>
    <x v="65"/>
    <x v="0"/>
    <s v="Direct_Debit"/>
    <d v="2025-11-21T00:45:52"/>
    <s v=""/>
  </r>
  <r>
    <s v="SUB-1076"/>
    <s v="CUST-3317"/>
    <s v="Iris Clarke"/>
    <s v="iris.clarke@example.com"/>
    <x v="0"/>
    <x v="0"/>
    <n v="9.99"/>
    <x v="0"/>
    <x v="66"/>
    <x v="0"/>
    <s v="Card"/>
    <d v="2026-08-13T09:30:26"/>
    <s v=""/>
  </r>
  <r>
    <s v="SUB-1077"/>
    <s v="CUST-9947"/>
    <s v="Ben Romano"/>
    <s v="ben.romano99.example.com"/>
    <x v="0"/>
    <x v="1"/>
    <n v="0"/>
    <x v="0"/>
    <x v="67"/>
    <x v="0"/>
    <s v="Paypal"/>
    <d v="2026-07-18T19:06:06"/>
    <s v=""/>
  </r>
  <r>
    <s v="SUB-1078"/>
    <s v="CUST-7123"/>
    <s v="Anna Doyle"/>
    <s v="anna.doyle@example.com"/>
    <x v="1"/>
    <x v="1"/>
    <n v="0"/>
    <x v="0"/>
    <x v="46"/>
    <x v="0"/>
    <s v="Card"/>
    <d v="2025-10-19T01:03:23"/>
    <s v="promo SUMMER25"/>
  </r>
  <r>
    <s v="SUB-1079"/>
    <s v="CUST-3960"/>
    <s v="Emma Kelly"/>
    <s v="emma.kelly58@example.com"/>
    <x v="3"/>
    <x v="0"/>
    <n v="9.99"/>
    <x v="0"/>
    <x v="68"/>
    <x v="0"/>
    <s v="Paypal"/>
    <d v="2026-02-04T16:24:04"/>
    <s v=""/>
  </r>
  <r>
    <s v="SUB-1081"/>
    <s v="CUST-6515"/>
    <s v="Marco Greco"/>
    <s v="marco.greco@example.com"/>
    <x v="0"/>
    <x v="0"/>
    <n v="9.99"/>
    <x v="0"/>
    <x v="69"/>
    <x v="0"/>
    <s v="Unknown"/>
    <d v="2025-09-23T01:14:05"/>
    <s v=""/>
  </r>
  <r>
    <s v="SUB-1082"/>
    <s v="CUST-2021"/>
    <s v="Julia Bianchi"/>
    <s v="julia.bianchi@example.com"/>
    <x v="0"/>
    <x v="2"/>
    <n v="19.989999999999998"/>
    <x v="1"/>
    <x v="70"/>
    <x v="22"/>
    <s v="Card"/>
    <d v="2026-01-22T22:44:31"/>
    <s v=""/>
  </r>
  <r>
    <s v="SUB-1083"/>
    <s v="CUST-5090"/>
    <s v="Ines Clarke"/>
    <s v="ines.clarke@example.com"/>
    <x v="1"/>
    <x v="0"/>
    <n v="9.99"/>
    <x v="0"/>
    <x v="71"/>
    <x v="0"/>
    <s v="Card"/>
    <d v="2026-03-25T22:21:52"/>
    <s v=""/>
  </r>
  <r>
    <s v="SUB-1084"/>
    <s v="CUST-7777"/>
    <s v="Clara Evans"/>
    <s v="clara.evans@example.com"/>
    <x v="1"/>
    <x v="1"/>
    <n v="0"/>
    <x v="1"/>
    <x v="72"/>
    <x v="23"/>
    <s v="Direct_Debit"/>
    <d v="2025-06-16T02:39:49"/>
    <s v=""/>
  </r>
  <r>
    <s v="SUB-1085"/>
    <s v="CUST-9161"/>
    <s v="Ben Bianchi"/>
    <s v="ben.bianchi@example.com"/>
    <x v="2"/>
    <x v="1"/>
    <n v="0"/>
    <x v="2"/>
    <x v="73"/>
    <x v="0"/>
    <s v="Paypal"/>
    <d v="2025-02-20T10:45:38"/>
    <s v=""/>
  </r>
  <r>
    <s v="SUB-1086"/>
    <s v="CUST-9939"/>
    <s v="Sara Rossi"/>
    <s v="sara.rossi@example.com"/>
    <x v="3"/>
    <x v="0"/>
    <n v="9.99"/>
    <x v="1"/>
    <x v="74"/>
    <x v="24"/>
    <s v="Card"/>
    <d v="2025-12-11T02:23:50"/>
    <s v=""/>
  </r>
  <r>
    <s v="SUB-1087"/>
    <s v="CUST-9269"/>
    <s v="Amy Schmidt"/>
    <s v="amy.schmidt44@example.com"/>
    <x v="3"/>
    <x v="2"/>
    <n v="19.989999999999998"/>
    <x v="0"/>
    <x v="75"/>
    <x v="0"/>
    <s v="Paypal"/>
    <d v="2026-01-14T05:16:10"/>
    <s v="migrated from legacy billing"/>
  </r>
  <r>
    <s v="SUB-1090"/>
    <s v="CUST-9477"/>
    <s v="Luca Walsh"/>
    <s v="luca.walsh@example.com"/>
    <x v="0"/>
    <x v="0"/>
    <n v="9.99"/>
    <x v="0"/>
    <x v="76"/>
    <x v="0"/>
    <s v="Card"/>
    <d v="2026-02-28T04:09:11"/>
    <s v=""/>
  </r>
  <r>
    <s v="SUB-1091"/>
    <s v="CUST-3294"/>
    <s v="Chloe Fischer"/>
    <s v="chloe.fischer34@example.com"/>
    <x v="1"/>
    <x v="1"/>
    <n v="0"/>
    <x v="1"/>
    <x v="77"/>
    <x v="0"/>
    <s v="Card"/>
    <d v="2026-09-27T20:49:47"/>
    <s v=""/>
  </r>
  <r>
    <s v="SUB-1092"/>
    <s v="CUST-5151"/>
    <s v="Ines Kelly"/>
    <s v="ines.kelly@example.com"/>
    <x v="0"/>
    <x v="2"/>
    <n v="19.989999999999998"/>
    <x v="0"/>
    <x v="59"/>
    <x v="0"/>
    <s v="Direct_Debit"/>
    <d v="2025-01-26T20:09:39"/>
    <s v="promo SUMMER25"/>
  </r>
  <r>
    <s v="SUB-1093"/>
    <s v="CUST-2066"/>
    <s v="Jack Weber"/>
    <s v="jack.weber39@example.com"/>
    <x v="0"/>
    <x v="0"/>
    <n v="9.99"/>
    <x v="2"/>
    <x v="78"/>
    <x v="0"/>
    <s v="Card"/>
    <d v="2026-07-29T08:06:52"/>
    <s v=""/>
  </r>
  <r>
    <s v="SUB-1094"/>
    <s v="CUST-6973"/>
    <s v="Liam Wood"/>
    <s v="liam.wood@example.com"/>
    <x v="1"/>
    <x v="2"/>
    <n v="19.989999999999998"/>
    <x v="2"/>
    <x v="79"/>
    <x v="0"/>
    <s v="Paypal"/>
    <d v="2026-05-29T01:16:12"/>
    <s v=""/>
  </r>
  <r>
    <s v="SUB-1095"/>
    <s v="CUST-7140"/>
    <s v="Leo Ferrari"/>
    <s v="leo.ferrari88@example.com"/>
    <x v="0"/>
    <x v="2"/>
    <n v="19.989999999999998"/>
    <x v="1"/>
    <x v="80"/>
    <x v="25"/>
    <s v="Paypal"/>
    <d v="2025-12-31T22:55:34"/>
    <s v=""/>
  </r>
  <r>
    <s v="SUB-1096"/>
    <s v="CUST-3438"/>
    <s v="Liam Weber"/>
    <s v="liam.weber48@example.com"/>
    <x v="1"/>
    <x v="1"/>
    <n v="0"/>
    <x v="2"/>
    <x v="81"/>
    <x v="0"/>
    <s v="Card"/>
    <d v="2026-08-02T21:39:41"/>
    <s v=""/>
  </r>
  <r>
    <s v="SUB-1097"/>
    <s v="CUST-9924"/>
    <s v="Jack Greco"/>
    <s v="jack.greco@example.com"/>
    <x v="2"/>
    <x v="2"/>
    <n v="19.989999999999998"/>
    <x v="0"/>
    <x v="82"/>
    <x v="0"/>
    <s v="Unknown"/>
    <d v="2026-09-15T23:13:07"/>
    <s v=""/>
  </r>
  <r>
    <s v="SUB-1099"/>
    <s v="CUST-9702"/>
    <s v="Noah Fischer"/>
    <s v="noah.fischer49@example.com"/>
    <x v="1"/>
    <x v="2"/>
    <n v="19.989999999999998"/>
    <x v="0"/>
    <x v="83"/>
    <x v="0"/>
    <s v="Card"/>
    <d v="2026-07-03T03:51:54"/>
    <s v="migrated from legacy billing"/>
  </r>
  <r>
    <s v="SUB-1100"/>
    <s v="CUST-7743"/>
    <s v="Leo Doyle"/>
    <s v="leo.doyle43@example.com"/>
    <x v="3"/>
    <x v="1"/>
    <n v="0"/>
    <x v="0"/>
    <x v="84"/>
    <x v="0"/>
    <s v="Card"/>
    <d v="2026-07-11T06:47:47"/>
    <s v="migrated from legacy billing"/>
  </r>
  <r>
    <s v="SUB-1101"/>
    <s v="CUST-7492"/>
    <s v="Liam Kelly"/>
    <s v="liam.kelly@example.com"/>
    <x v="3"/>
    <x v="1"/>
    <n v="0"/>
    <x v="1"/>
    <x v="85"/>
    <x v="26"/>
    <s v="Direct_Debit"/>
    <d v="2026-06-25T23:24:09"/>
    <s v=""/>
  </r>
  <r>
    <s v="SUB-1102"/>
    <s v="CUST-7043"/>
    <s v="Tom Weber"/>
    <s v="tom.weber97@example.com"/>
    <x v="1"/>
    <x v="1"/>
    <n v="0"/>
    <x v="0"/>
    <x v="86"/>
    <x v="0"/>
    <s v="Card"/>
    <d v="2025-06-19T13:28:06"/>
    <s v="requested invoice"/>
  </r>
  <r>
    <s v="SUB-1103"/>
    <s v="CUST-9386"/>
    <s v="Mia Fischer"/>
    <s v="mia.fischer@example.com"/>
    <x v="0"/>
    <x v="2"/>
    <n v="19.989999999999998"/>
    <x v="0"/>
    <x v="87"/>
    <x v="0"/>
    <s v="Direct_Debit"/>
    <d v="2026-04-21T07:04:57"/>
    <s v="requested invoice"/>
  </r>
  <r>
    <s v="SUB-1104"/>
    <s v="CUST-4732"/>
    <s v="Mia Taylor"/>
    <s v="mia.taylor@example.com"/>
    <x v="0"/>
    <x v="2"/>
    <n v="19.989999999999998"/>
    <x v="1"/>
    <x v="88"/>
    <x v="27"/>
    <s v="Unknown"/>
    <d v="2025-11-30T21:41:44"/>
    <s v=""/>
  </r>
  <r>
    <s v="SUB-1105"/>
    <s v="CUST-8343"/>
    <s v="Mia Schmidt"/>
    <s v="mia.schmidt99@example.com"/>
    <x v="0"/>
    <x v="1"/>
    <n v="0"/>
    <x v="0"/>
    <x v="59"/>
    <x v="0"/>
    <s v="Card"/>
    <d v="2026-06-09T13:12:52"/>
    <s v=""/>
  </r>
  <r>
    <s v="SUB-1106"/>
    <s v="CUST-3949"/>
    <s v="Hugo Walsh"/>
    <s v="hugo.walsh16@example.com"/>
    <x v="1"/>
    <x v="2"/>
    <n v="19.989999999999998"/>
    <x v="0"/>
    <x v="89"/>
    <x v="0"/>
    <s v="Unknown"/>
    <d v="2025-01-13T06:10:50"/>
    <s v="migrated from legacy billing"/>
  </r>
  <r>
    <s v="SUB-1107"/>
    <s v="CUST-6863"/>
    <s v="Emma Byrne"/>
    <s v="emma.byrne@example.com"/>
    <x v="0"/>
    <x v="2"/>
    <n v="19.989999999999998"/>
    <x v="0"/>
    <x v="50"/>
    <x v="0"/>
    <s v="Card"/>
    <d v="2026-09-18T16:07:01"/>
    <s v="promo SUMMER25"/>
  </r>
  <r>
    <s v="SUB-1108"/>
    <s v="CUST-5492"/>
    <s v="Liam Greco"/>
    <s v="liam.greco@example.com"/>
    <x v="1"/>
    <x v="0"/>
    <n v="9.99"/>
    <x v="0"/>
    <x v="90"/>
    <x v="0"/>
    <s v="Paypal"/>
    <d v="2026-05-20T19:16:25"/>
    <s v=""/>
  </r>
  <r>
    <s v="SUB-1109"/>
    <s v="CUST-6795"/>
    <s v="Sara Schmidt"/>
    <s v="sara.schmidt@example.com"/>
    <x v="3"/>
    <x v="0"/>
    <n v="9.99"/>
    <x v="0"/>
    <x v="91"/>
    <x v="0"/>
    <s v="Card"/>
    <d v="2025-06-17T13:53:45"/>
    <s v=""/>
  </r>
  <r>
    <s v="SUB-1110"/>
    <s v="CUST-8986"/>
    <s v="Leo Greco"/>
    <s v="leo.greco@example.com"/>
    <x v="1"/>
    <x v="0"/>
    <n v="9.99"/>
    <x v="0"/>
    <x v="92"/>
    <x v="0"/>
    <s v="Paypal"/>
    <d v="2026-09-09T10:24:26"/>
    <s v=""/>
  </r>
  <r>
    <s v="SUB-1111"/>
    <s v="CUST-5407"/>
    <s v="Dario Becker"/>
    <s v="dario.becker@example.com"/>
    <x v="3"/>
    <x v="2"/>
    <n v="19.989999999999998"/>
    <x v="0"/>
    <x v="93"/>
    <x v="0"/>
    <s v="Paypal"/>
    <d v="2026-06-26T16:34:51"/>
    <s v=""/>
  </r>
  <r>
    <s v="SUB-1112"/>
    <s v="CUST-2763"/>
    <s v="Ben Ferrari"/>
    <s v="ben.ferrari@example.com"/>
    <x v="1"/>
    <x v="2"/>
    <n v="19.989999999999998"/>
    <x v="0"/>
    <x v="94"/>
    <x v="0"/>
    <s v="Card"/>
    <d v="2025-11-02T21:16:54"/>
    <s v=""/>
  </r>
  <r>
    <s v="SUB-1113"/>
    <s v="CUST-9709"/>
    <s v="Paul Murphy"/>
    <s v="paul.murphy77@example.com"/>
    <x v="2"/>
    <x v="0"/>
    <n v="9.99"/>
    <x v="1"/>
    <x v="95"/>
    <x v="28"/>
    <s v="Paypal"/>
    <d v="2026-08-26T03:12:18"/>
    <s v=""/>
  </r>
  <r>
    <s v="SUB-1114"/>
    <s v="CUST-6556"/>
    <s v="Jack Taylor"/>
    <s v="jack.taylor75@example.com"/>
    <x v="0"/>
    <x v="1"/>
    <n v="0"/>
    <x v="1"/>
    <x v="96"/>
    <x v="29"/>
    <s v="Card"/>
    <d v="2026-06-25T07:59:57"/>
    <s v=""/>
  </r>
  <r>
    <s v="SUB-1115"/>
    <s v="CUST-8794"/>
    <s v="Oscar Byrne"/>
    <s v="oscar.byrne73@example.com"/>
    <x v="2"/>
    <x v="0"/>
    <n v="9.99"/>
    <x v="1"/>
    <x v="97"/>
    <x v="30"/>
    <s v="Paypal"/>
    <d v="2025-01-24T11:43:35"/>
    <s v="support ticket open"/>
  </r>
  <r>
    <s v="SUB-1116"/>
    <s v="CUST-3162"/>
    <s v="Ella Kelly"/>
    <s v="ella.kelly@example.com"/>
    <x v="0"/>
    <x v="1"/>
    <n v="0"/>
    <x v="1"/>
    <x v="98"/>
    <x v="31"/>
    <s v="Paypal"/>
    <d v="2026-08-05T23:26:10"/>
    <s v="promo SUMMER25"/>
  </r>
  <r>
    <s v="SUB-1117"/>
    <s v="CUST-2407"/>
    <s v="Dario Wagner"/>
    <s v="dario.wagner74@example.com"/>
    <x v="1"/>
    <x v="1"/>
    <n v="0"/>
    <x v="0"/>
    <x v="23"/>
    <x v="0"/>
    <s v="Paypal"/>
    <d v="2025-08-06T16:43:45"/>
    <s v=""/>
  </r>
  <r>
    <s v="SUB-1118"/>
    <s v="CUST-5521"/>
    <s v="Tom Clarke"/>
    <s v="tom.clarke@example.com"/>
    <x v="0"/>
    <x v="0"/>
    <n v="9.99"/>
    <x v="0"/>
    <x v="99"/>
    <x v="0"/>
    <s v="Card"/>
    <d v="2026-09-11T16:49:25"/>
    <s v=""/>
  </r>
  <r>
    <s v="SUB-1119"/>
    <s v="CUST-9744"/>
    <s v="Ben Kelly"/>
    <s v="ben.kelly@example.com"/>
    <x v="0"/>
    <x v="0"/>
    <n v="9.99"/>
    <x v="0"/>
    <x v="16"/>
    <x v="0"/>
    <s v="Card"/>
    <d v="2024-08-08T04:29:03"/>
    <s v=""/>
  </r>
  <r>
    <s v="SUB-1120"/>
    <s v="CUST-7764"/>
    <s v="Marco Wagner"/>
    <s v="marco.wagner@example.com"/>
    <x v="0"/>
    <x v="0"/>
    <n v="9.99"/>
    <x v="0"/>
    <x v="100"/>
    <x v="32"/>
    <s v="Card"/>
    <d v="2026-09-26T22:43:27"/>
    <s v=""/>
  </r>
  <r>
    <s v="SUB-1122"/>
    <s v="CUST-7063"/>
    <s v="Elena Byrne"/>
    <s v="elena.byrne@example.com"/>
    <x v="1"/>
    <x v="0"/>
    <n v="9.99"/>
    <x v="2"/>
    <x v="101"/>
    <x v="0"/>
    <s v="Unknown"/>
    <d v="2026-01-07T02:50:46"/>
    <s v="migrated from legacy billing"/>
  </r>
  <r>
    <s v="SUB-1123"/>
    <s v="CUST-3815"/>
    <s v="Oscar Byrne"/>
    <s v="oscar.byrne@example.com"/>
    <x v="1"/>
    <x v="0"/>
    <n v="9.99"/>
    <x v="0"/>
    <x v="102"/>
    <x v="0"/>
    <s v="Card"/>
    <d v="2025-03-23T14:13:15"/>
    <s v="support ticket open"/>
  </r>
  <r>
    <s v="SUB-1124"/>
    <s v="CUST-7287"/>
    <s v="Noah Greco"/>
    <s v="noah.greco@example.com"/>
    <x v="2"/>
    <x v="2"/>
    <n v="19.989999999999998"/>
    <x v="0"/>
    <x v="103"/>
    <x v="33"/>
    <s v="Paypal"/>
    <d v="2026-04-15T18:11:07"/>
    <s v="requested invoice"/>
  </r>
  <r>
    <s v="SUB-1125"/>
    <s v="CUST-8180"/>
    <s v="Mia Walsh"/>
    <s v="mia.walsh@example.com"/>
    <x v="3"/>
    <x v="2"/>
    <n v="19.989999999999998"/>
    <x v="0"/>
    <x v="104"/>
    <x v="0"/>
    <s v="Card"/>
    <d v="2024-06-30T19:00:00"/>
    <s v=""/>
  </r>
  <r>
    <s v="SUB-1126"/>
    <s v="CUST-5602"/>
    <s v="Max Weber"/>
    <s v="max.weber84@example.com"/>
    <x v="0"/>
    <x v="2"/>
    <n v="19.989999999999998"/>
    <x v="0"/>
    <x v="105"/>
    <x v="0"/>
    <s v="Unknown"/>
    <d v="2026-03-24T17:40:40"/>
    <s v=""/>
  </r>
  <r>
    <s v="SUB-1127"/>
    <s v="CUST-2466"/>
    <s v="Hugo Ferrari"/>
    <s v="hugo.ferrari@example.com"/>
    <x v="3"/>
    <x v="0"/>
    <n v="9.99"/>
    <x v="0"/>
    <x v="106"/>
    <x v="0"/>
    <s v="Card"/>
    <d v="2025-11-25T23:30:13"/>
    <s v="migrated from legacy billing"/>
  </r>
  <r>
    <s v="SUB-1128"/>
    <s v="CUST-2336"/>
    <s v="Leo Wood"/>
    <s v="leo.wood@example.com"/>
    <x v="1"/>
    <x v="0"/>
    <n v="9.99"/>
    <x v="0"/>
    <x v="107"/>
    <x v="0"/>
    <s v="Card"/>
    <d v="2026-08-25T06:00:56"/>
    <s v=""/>
  </r>
  <r>
    <s v="SUB-1129"/>
    <s v="CUST-9365"/>
    <s v="Mia Wagner"/>
    <s v="mia.wagner@example.com"/>
    <x v="0"/>
    <x v="0"/>
    <n v="9.99"/>
    <x v="2"/>
    <x v="108"/>
    <x v="0"/>
    <s v="Unknown"/>
    <d v="2025-06-10T12:00:32"/>
    <s v=""/>
  </r>
  <r>
    <s v="SUB-1130"/>
    <s v="CUST-4981"/>
    <s v="Luca Murphy"/>
    <s v="luca.murphy33@example.com"/>
    <x v="3"/>
    <x v="0"/>
    <n v="9.99"/>
    <x v="0"/>
    <x v="109"/>
    <x v="0"/>
    <s v="Unknown"/>
    <d v="2026-01-24T17:31:06"/>
    <s v=""/>
  </r>
  <r>
    <s v="SUB-1131"/>
    <s v="CUST-6570"/>
    <s v="Ella Wagner"/>
    <s v="ella.wagner88@example.com"/>
    <x v="0"/>
    <x v="1"/>
    <n v="0"/>
    <x v="1"/>
    <x v="110"/>
    <x v="34"/>
    <s v="Unknown"/>
    <d v="2025-09-17T16:53:00"/>
    <s v=""/>
  </r>
  <r>
    <s v="SUB-1132"/>
    <s v="CUST-7374"/>
    <s v="Karl Wood"/>
    <s v="karl.wood@example.com"/>
    <x v="0"/>
    <x v="1"/>
    <n v="0"/>
    <x v="0"/>
    <x v="111"/>
    <x v="0"/>
    <s v="Paypal"/>
    <d v="2026-07-27T10:00:00"/>
    <s v="support ticket open"/>
  </r>
  <r>
    <s v="SUB-1133"/>
    <s v="CUST-8790"/>
    <s v="Sofia Kelly"/>
    <s v="sofia.kelly@example.com"/>
    <x v="1"/>
    <x v="0"/>
    <n v="9.99"/>
    <x v="0"/>
    <x v="112"/>
    <x v="0"/>
    <s v="Direct_Debit"/>
    <d v="2026-08-05T17:21:58"/>
    <s v="support ticket open"/>
  </r>
  <r>
    <s v="SUB-1134"/>
    <s v="CUST-8276"/>
    <s v="Tom Greco"/>
    <s v="tom.greco@example.com"/>
    <x v="0"/>
    <x v="0"/>
    <n v="0"/>
    <x v="0"/>
    <x v="17"/>
    <x v="0"/>
    <s v="Card"/>
    <d v="2025-07-24T22:08:12"/>
    <s v=""/>
  </r>
  <r>
    <s v="SUB-1135"/>
    <s v="CUST-2309"/>
    <s v="Emma Schmidt"/>
    <s v="emma.schmidt@example.com"/>
    <x v="2"/>
    <x v="0"/>
    <n v="0"/>
    <x v="0"/>
    <x v="113"/>
    <x v="0"/>
    <s v="Paypal"/>
    <d v="2026-09-23T00:28:14"/>
    <s v="call back re refund"/>
  </r>
  <r>
    <s v="SUB-1136"/>
    <s v="CUST-5365"/>
    <s v="Emma Walsh"/>
    <s v="emma.walsh25@example.com"/>
    <x v="0"/>
    <x v="2"/>
    <n v="19.989999999999998"/>
    <x v="1"/>
    <x v="114"/>
    <x v="35"/>
    <s v="Card"/>
    <d v="2026-01-22T11:53:01"/>
    <s v=""/>
  </r>
  <r>
    <s v="SUB-1137"/>
    <s v="CUST-8624"/>
    <s v="Leo Kelly"/>
    <s v="leo.kelly98@example.com"/>
    <x v="0"/>
    <x v="2"/>
    <n v="19.989999999999998"/>
    <x v="0"/>
    <x v="115"/>
    <x v="0"/>
    <s v="Paypal"/>
    <d v="2026-08-04T03:18:10"/>
    <s v=""/>
  </r>
  <r>
    <s v="SUB-1138"/>
    <s v="CUST-3327"/>
    <s v="Jack Weber"/>
    <s v="jack.weber@example.com"/>
    <x v="0"/>
    <x v="2"/>
    <n v="19.989999999999998"/>
    <x v="1"/>
    <x v="116"/>
    <x v="36"/>
    <s v="Paypal"/>
    <d v="2026-08-27T14:08:19"/>
    <s v=""/>
  </r>
  <r>
    <s v="SUB-1139"/>
    <s v="CUST-8929"/>
    <s v="Karl Ferrari"/>
    <s v="karl.ferrari8@example.com"/>
    <x v="0"/>
    <x v="0"/>
    <n v="9.99"/>
    <x v="0"/>
    <x v="117"/>
    <x v="0"/>
    <s v="Card"/>
    <d v="2026-08-20T01:15:36"/>
    <s v=""/>
  </r>
  <r>
    <s v="SUB-1140"/>
    <s v="CUST-9458"/>
    <s v="Ella Walsh"/>
    <s v="ella.walsh@example.com"/>
    <x v="0"/>
    <x v="2"/>
    <n v="19.989999999999998"/>
    <x v="0"/>
    <x v="118"/>
    <x v="0"/>
    <s v="Card"/>
    <d v="2026-03-08T09:38:06"/>
    <s v=""/>
  </r>
  <r>
    <s v="SUB-1141"/>
    <s v="CUST-5071"/>
    <s v="Max Rossi"/>
    <s v="max.rossi@example.com"/>
    <x v="2"/>
    <x v="0"/>
    <n v="9.99"/>
    <x v="0"/>
    <x v="119"/>
    <x v="0"/>
    <s v="Card"/>
    <d v="2025-10-04T12:42:59"/>
    <s v=""/>
  </r>
  <r>
    <s v="SUB-1142"/>
    <s v="CUST-3136"/>
    <s v="Iris Wagner"/>
    <s v="iris.wagner@example.com"/>
    <x v="1"/>
    <x v="1"/>
    <n v="0"/>
    <x v="2"/>
    <x v="69"/>
    <x v="0"/>
    <s v="Paypal"/>
    <d v="2026-04-27T08:50:47"/>
    <s v=""/>
  </r>
  <r>
    <s v="SUB-1143"/>
    <s v="CUST-5467"/>
    <s v="Anna Schmidt"/>
    <s v="anna.schmidt@example.com"/>
    <x v="3"/>
    <x v="1"/>
    <n v="0"/>
    <x v="0"/>
    <x v="103"/>
    <x v="0"/>
    <s v="Card"/>
    <d v="2026-05-05T21:18:04"/>
    <s v="migrated from legacy billing"/>
  </r>
  <r>
    <s v="SUB-1144"/>
    <s v="CUST-6094"/>
    <s v="Liam Evans"/>
    <s v="liam.evans55@example.com"/>
    <x v="1"/>
    <x v="2"/>
    <n v="19.989999999999998"/>
    <x v="0"/>
    <x v="120"/>
    <x v="0"/>
    <s v="Card"/>
    <d v="2024-05-18T12:45:15"/>
    <s v=""/>
  </r>
  <r>
    <s v="SUB-1146"/>
    <s v="CUST-5851"/>
    <s v="Sofia Greco"/>
    <s v="sofia.greco71@example.com"/>
    <x v="0"/>
    <x v="2"/>
    <n v="0"/>
    <x v="0"/>
    <x v="121"/>
    <x v="0"/>
    <s v="Card"/>
    <d v="2025-09-12T23:58:51"/>
    <s v=""/>
  </r>
  <r>
    <s v="SUB-1147"/>
    <s v="CUST-4886"/>
    <s v="Jack Evans"/>
    <s v="jack.evans95@example.com"/>
    <x v="0"/>
    <x v="0"/>
    <n v="9.99"/>
    <x v="1"/>
    <x v="122"/>
    <x v="21"/>
    <s v="Card"/>
    <d v="2026-08-26T23:59:14"/>
    <s v=""/>
  </r>
  <r>
    <s v="SUB-1148"/>
    <s v="CUST-5749"/>
    <s v="Ben Fischer"/>
    <s v="ben.fischer@example.com"/>
    <x v="1"/>
    <x v="0"/>
    <n v="9.99"/>
    <x v="1"/>
    <x v="123"/>
    <x v="0"/>
    <s v="Card"/>
    <d v="2025-09-08T13:55:42"/>
    <s v="VIP"/>
  </r>
  <r>
    <s v="SUB-1149"/>
    <s v="CUST-2299"/>
    <s v="Lena Murphy"/>
    <s v="lena.murphy@example.com"/>
    <x v="3"/>
    <x v="0"/>
    <n v="9.99"/>
    <x v="2"/>
    <x v="124"/>
    <x v="0"/>
    <s v="Unknown"/>
    <d v="2025-12-05T10:25:34"/>
    <s v=""/>
  </r>
  <r>
    <s v="SUB-1150"/>
    <s v="CUST-9328"/>
    <s v="Karl Murphy"/>
    <s v="karl.murphy@example.com"/>
    <x v="1"/>
    <x v="0"/>
    <n v="9.99"/>
    <x v="1"/>
    <x v="118"/>
    <x v="37"/>
    <s v="Direct_Debit"/>
    <d v="2026-03-23T16:03:0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28DF8-4B05-4C49-928B-2E1EE0C8FD08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revenue" fld="0" baseField="1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revenue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bscriptions_cleaned.csv.xlsx!subscriptions_raw">
        <x15:activeTabTopLevelEntity name="[subscriptions_raw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A0920-FA49-47FB-B7CE-A10F64DA74ED}" name="PivotTable8" cacheId="5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43:E49" firstHeaderRow="1" firstDataRow="2" firstDataCol="1"/>
  <pivotFields count="19">
    <pivotField showAll="0"/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>
      <items count="126">
        <item x="39"/>
        <item x="16"/>
        <item x="10"/>
        <item x="20"/>
        <item x="121"/>
        <item x="97"/>
        <item x="72"/>
        <item x="48"/>
        <item x="123"/>
        <item x="31"/>
        <item x="94"/>
        <item x="86"/>
        <item x="120"/>
        <item x="112"/>
        <item x="100"/>
        <item x="25"/>
        <item x="85"/>
        <item x="80"/>
        <item x="9"/>
        <item x="74"/>
        <item x="2"/>
        <item x="23"/>
        <item x="114"/>
        <item x="101"/>
        <item x="104"/>
        <item x="35"/>
        <item x="17"/>
        <item x="22"/>
        <item x="96"/>
        <item x="4"/>
        <item x="65"/>
        <item x="115"/>
        <item x="67"/>
        <item x="53"/>
        <item x="91"/>
        <item x="42"/>
        <item x="57"/>
        <item x="61"/>
        <item x="28"/>
        <item x="102"/>
        <item x="75"/>
        <item x="81"/>
        <item x="47"/>
        <item x="34"/>
        <item x="73"/>
        <item x="110"/>
        <item x="70"/>
        <item x="18"/>
        <item x="89"/>
        <item x="52"/>
        <item x="44"/>
        <item x="83"/>
        <item x="119"/>
        <item x="21"/>
        <item x="15"/>
        <item x="43"/>
        <item x="95"/>
        <item x="19"/>
        <item x="118"/>
        <item x="108"/>
        <item x="106"/>
        <item x="69"/>
        <item x="14"/>
        <item x="90"/>
        <item x="54"/>
        <item x="116"/>
        <item x="99"/>
        <item x="37"/>
        <item x="55"/>
        <item x="109"/>
        <item x="40"/>
        <item x="3"/>
        <item x="8"/>
        <item x="124"/>
        <item x="71"/>
        <item x="6"/>
        <item x="60"/>
        <item x="1"/>
        <item x="98"/>
        <item x="7"/>
        <item x="24"/>
        <item x="88"/>
        <item x="38"/>
        <item x="46"/>
        <item x="105"/>
        <item x="68"/>
        <item x="78"/>
        <item x="49"/>
        <item x="66"/>
        <item x="76"/>
        <item x="87"/>
        <item x="62"/>
        <item x="64"/>
        <item x="5"/>
        <item x="11"/>
        <item x="103"/>
        <item x="122"/>
        <item x="0"/>
        <item x="113"/>
        <item x="58"/>
        <item x="12"/>
        <item x="79"/>
        <item x="50"/>
        <item x="30"/>
        <item x="36"/>
        <item x="107"/>
        <item x="56"/>
        <item x="92"/>
        <item x="84"/>
        <item x="82"/>
        <item x="93"/>
        <item x="51"/>
        <item x="13"/>
        <item x="41"/>
        <item x="29"/>
        <item x="45"/>
        <item x="33"/>
        <item x="77"/>
        <item x="63"/>
        <item x="111"/>
        <item x="26"/>
        <item x="117"/>
        <item x="32"/>
        <item x="27"/>
        <item x="59"/>
        <item t="default"/>
      </items>
    </pivotField>
    <pivotField showAll="0">
      <items count="39">
        <item x="15"/>
        <item x="17"/>
        <item x="11"/>
        <item x="10"/>
        <item x="24"/>
        <item x="23"/>
        <item x="18"/>
        <item x="32"/>
        <item x="29"/>
        <item x="26"/>
        <item x="30"/>
        <item x="34"/>
        <item x="25"/>
        <item x="6"/>
        <item x="8"/>
        <item x="31"/>
        <item x="35"/>
        <item x="14"/>
        <item x="9"/>
        <item x="28"/>
        <item x="22"/>
        <item x="2"/>
        <item x="27"/>
        <item x="16"/>
        <item x="19"/>
        <item x="37"/>
        <item x="13"/>
        <item x="1"/>
        <item x="4"/>
        <item x="5"/>
        <item x="7"/>
        <item x="20"/>
        <item x="36"/>
        <item x="33"/>
        <item x="21"/>
        <item x="12"/>
        <item x="3"/>
        <item x="0"/>
        <item t="default"/>
      </items>
    </pivotField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_id" fld="1" subtotal="count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A2F57-659F-4A81-B9A5-77455DC603BF}" name="PivotTable7" cacheId="5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34:E40" firstHeaderRow="1" firstDataRow="2" firstDataCol="1"/>
  <pivotFields count="19">
    <pivotField dataFiel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 sortType="descending">
      <items count="4">
        <item x="2"/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126">
        <item x="39"/>
        <item x="16"/>
        <item x="10"/>
        <item x="20"/>
        <item x="121"/>
        <item x="97"/>
        <item x="72"/>
        <item x="48"/>
        <item x="123"/>
        <item x="31"/>
        <item x="94"/>
        <item x="86"/>
        <item x="120"/>
        <item x="112"/>
        <item x="100"/>
        <item x="25"/>
        <item x="85"/>
        <item x="80"/>
        <item x="9"/>
        <item x="74"/>
        <item x="2"/>
        <item x="23"/>
        <item x="114"/>
        <item x="101"/>
        <item x="104"/>
        <item x="35"/>
        <item x="17"/>
        <item x="22"/>
        <item x="96"/>
        <item x="4"/>
        <item x="65"/>
        <item x="115"/>
        <item x="67"/>
        <item x="53"/>
        <item x="91"/>
        <item x="42"/>
        <item x="57"/>
        <item x="61"/>
        <item x="28"/>
        <item x="102"/>
        <item x="75"/>
        <item x="81"/>
        <item x="47"/>
        <item x="34"/>
        <item x="73"/>
        <item x="110"/>
        <item x="70"/>
        <item x="18"/>
        <item x="89"/>
        <item x="52"/>
        <item x="44"/>
        <item x="83"/>
        <item x="119"/>
        <item x="21"/>
        <item x="15"/>
        <item x="43"/>
        <item x="95"/>
        <item x="19"/>
        <item x="118"/>
        <item x="108"/>
        <item x="106"/>
        <item x="69"/>
        <item x="14"/>
        <item x="90"/>
        <item x="54"/>
        <item x="116"/>
        <item x="99"/>
        <item x="37"/>
        <item x="55"/>
        <item x="109"/>
        <item x="40"/>
        <item x="3"/>
        <item x="8"/>
        <item x="124"/>
        <item x="71"/>
        <item x="6"/>
        <item x="60"/>
        <item x="1"/>
        <item x="98"/>
        <item x="7"/>
        <item x="24"/>
        <item x="88"/>
        <item x="38"/>
        <item x="46"/>
        <item x="105"/>
        <item x="68"/>
        <item x="78"/>
        <item x="49"/>
        <item x="66"/>
        <item x="76"/>
        <item x="87"/>
        <item x="62"/>
        <item x="64"/>
        <item x="5"/>
        <item x="11"/>
        <item x="103"/>
        <item x="122"/>
        <item x="0"/>
        <item x="113"/>
        <item x="58"/>
        <item x="12"/>
        <item x="79"/>
        <item x="50"/>
        <item x="30"/>
        <item x="36"/>
        <item x="107"/>
        <item x="56"/>
        <item x="92"/>
        <item x="84"/>
        <item x="82"/>
        <item x="93"/>
        <item x="51"/>
        <item x="13"/>
        <item x="41"/>
        <item x="29"/>
        <item x="45"/>
        <item x="33"/>
        <item x="77"/>
        <item x="63"/>
        <item x="111"/>
        <item x="26"/>
        <item x="117"/>
        <item x="32"/>
        <item x="27"/>
        <item x="59"/>
        <item t="default"/>
      </items>
    </pivotField>
    <pivotField showAll="0">
      <items count="39">
        <item x="15"/>
        <item x="17"/>
        <item x="11"/>
        <item x="10"/>
        <item x="24"/>
        <item x="23"/>
        <item x="18"/>
        <item x="32"/>
        <item x="29"/>
        <item x="26"/>
        <item x="30"/>
        <item x="34"/>
        <item x="25"/>
        <item x="6"/>
        <item x="8"/>
        <item x="31"/>
        <item x="35"/>
        <item x="14"/>
        <item x="9"/>
        <item x="28"/>
        <item x="22"/>
        <item x="2"/>
        <item x="27"/>
        <item x="16"/>
        <item x="19"/>
        <item x="37"/>
        <item x="13"/>
        <item x="1"/>
        <item x="4"/>
        <item x="5"/>
        <item x="7"/>
        <item x="20"/>
        <item x="36"/>
        <item x="33"/>
        <item x="21"/>
        <item x="12"/>
        <item x="3"/>
        <item x="0"/>
        <item t="default"/>
      </items>
    </pivotField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ubscription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2BC27-3B7D-4DF7-8132-1B907EB28C71}" name="PivotTable6" cacheId="5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24:E31" firstHeaderRow="1" firstDataRow="2" firstDataCol="1"/>
  <pivotFields count="19"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 sortType="descending">
      <items count="4">
        <item x="2"/>
        <item x="1"/>
        <item x="0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  <pivotField showAll="0">
      <items count="126">
        <item x="39"/>
        <item x="16"/>
        <item x="10"/>
        <item x="20"/>
        <item x="121"/>
        <item x="97"/>
        <item x="72"/>
        <item x="48"/>
        <item x="123"/>
        <item x="31"/>
        <item x="94"/>
        <item x="86"/>
        <item x="120"/>
        <item x="112"/>
        <item x="100"/>
        <item x="25"/>
        <item x="85"/>
        <item x="80"/>
        <item x="9"/>
        <item x="74"/>
        <item x="2"/>
        <item x="23"/>
        <item x="114"/>
        <item x="101"/>
        <item x="104"/>
        <item x="35"/>
        <item x="17"/>
        <item x="22"/>
        <item x="96"/>
        <item x="4"/>
        <item x="65"/>
        <item x="115"/>
        <item x="67"/>
        <item x="53"/>
        <item x="91"/>
        <item x="42"/>
        <item x="57"/>
        <item x="61"/>
        <item x="28"/>
        <item x="102"/>
        <item x="75"/>
        <item x="81"/>
        <item x="47"/>
        <item x="34"/>
        <item x="73"/>
        <item x="110"/>
        <item x="70"/>
        <item x="18"/>
        <item x="89"/>
        <item x="52"/>
        <item x="44"/>
        <item x="83"/>
        <item x="119"/>
        <item x="21"/>
        <item x="15"/>
        <item x="43"/>
        <item x="95"/>
        <item x="19"/>
        <item x="118"/>
        <item x="108"/>
        <item x="106"/>
        <item x="69"/>
        <item x="14"/>
        <item x="90"/>
        <item x="54"/>
        <item x="116"/>
        <item x="99"/>
        <item x="37"/>
        <item x="55"/>
        <item x="109"/>
        <item x="40"/>
        <item x="3"/>
        <item x="8"/>
        <item x="124"/>
        <item x="71"/>
        <item x="6"/>
        <item x="60"/>
        <item x="1"/>
        <item x="98"/>
        <item x="7"/>
        <item x="24"/>
        <item x="88"/>
        <item x="38"/>
        <item x="46"/>
        <item x="105"/>
        <item x="68"/>
        <item x="78"/>
        <item x="49"/>
        <item x="66"/>
        <item x="76"/>
        <item x="87"/>
        <item x="62"/>
        <item x="64"/>
        <item x="5"/>
        <item x="11"/>
        <item x="103"/>
        <item x="122"/>
        <item x="0"/>
        <item x="113"/>
        <item x="58"/>
        <item x="12"/>
        <item x="79"/>
        <item x="50"/>
        <item x="30"/>
        <item x="36"/>
        <item x="107"/>
        <item x="56"/>
        <item x="92"/>
        <item x="84"/>
        <item x="82"/>
        <item x="93"/>
        <item x="51"/>
        <item x="13"/>
        <item x="41"/>
        <item x="29"/>
        <item x="45"/>
        <item x="33"/>
        <item x="77"/>
        <item x="63"/>
        <item x="111"/>
        <item x="26"/>
        <item x="117"/>
        <item x="32"/>
        <item x="27"/>
        <item x="59"/>
        <item t="default"/>
      </items>
    </pivotField>
    <pivotField showAll="0">
      <items count="39">
        <item x="15"/>
        <item x="17"/>
        <item x="11"/>
        <item x="10"/>
        <item x="24"/>
        <item x="23"/>
        <item x="18"/>
        <item x="32"/>
        <item x="29"/>
        <item x="26"/>
        <item x="30"/>
        <item x="34"/>
        <item x="25"/>
        <item x="6"/>
        <item x="8"/>
        <item x="31"/>
        <item x="35"/>
        <item x="14"/>
        <item x="9"/>
        <item x="28"/>
        <item x="22"/>
        <item x="2"/>
        <item x="27"/>
        <item x="16"/>
        <item x="19"/>
        <item x="37"/>
        <item x="13"/>
        <item x="1"/>
        <item x="4"/>
        <item x="5"/>
        <item x="7"/>
        <item x="20"/>
        <item x="36"/>
        <item x="33"/>
        <item x="21"/>
        <item x="12"/>
        <item x="3"/>
        <item x="0"/>
        <item t="default"/>
      </items>
    </pivotField>
    <pivotField showAll="0"/>
    <pivotField numFmtId="22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% status" fld="7" subtotal="count" showDataAs="percentOfRow" baseField="7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1C1D4-EB56-4A35-AD61-4C3E3C23229F}" name="PivotTable5" cacheId="5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16:B21" firstHeaderRow="1" firstDataRow="1" firstDataCol="1"/>
  <pivotFields count="19"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 sortType="descending">
      <items count="4">
        <item x="2"/>
        <item x="1"/>
        <item x="0"/>
        <item t="default"/>
      </items>
    </pivotField>
    <pivotField dataField="1" showAll="0"/>
    <pivotField showAll="0"/>
    <pivotField showAll="0">
      <items count="126">
        <item x="39"/>
        <item x="16"/>
        <item x="10"/>
        <item x="20"/>
        <item x="121"/>
        <item x="97"/>
        <item x="72"/>
        <item x="48"/>
        <item x="123"/>
        <item x="31"/>
        <item x="94"/>
        <item x="86"/>
        <item x="120"/>
        <item x="112"/>
        <item x="100"/>
        <item x="25"/>
        <item x="85"/>
        <item x="80"/>
        <item x="9"/>
        <item x="74"/>
        <item x="2"/>
        <item x="23"/>
        <item x="114"/>
        <item x="101"/>
        <item x="104"/>
        <item x="35"/>
        <item x="17"/>
        <item x="22"/>
        <item x="96"/>
        <item x="4"/>
        <item x="65"/>
        <item x="115"/>
        <item x="67"/>
        <item x="53"/>
        <item x="91"/>
        <item x="42"/>
        <item x="57"/>
        <item x="61"/>
        <item x="28"/>
        <item x="102"/>
        <item x="75"/>
        <item x="81"/>
        <item x="47"/>
        <item x="34"/>
        <item x="73"/>
        <item x="110"/>
        <item x="70"/>
        <item x="18"/>
        <item x="89"/>
        <item x="52"/>
        <item x="44"/>
        <item x="83"/>
        <item x="119"/>
        <item x="21"/>
        <item x="15"/>
        <item x="43"/>
        <item x="95"/>
        <item x="19"/>
        <item x="118"/>
        <item x="108"/>
        <item x="106"/>
        <item x="69"/>
        <item x="14"/>
        <item x="90"/>
        <item x="54"/>
        <item x="116"/>
        <item x="99"/>
        <item x="37"/>
        <item x="55"/>
        <item x="109"/>
        <item x="40"/>
        <item x="3"/>
        <item x="8"/>
        <item x="124"/>
        <item x="71"/>
        <item x="6"/>
        <item x="60"/>
        <item x="1"/>
        <item x="98"/>
        <item x="7"/>
        <item x="24"/>
        <item x="88"/>
        <item x="38"/>
        <item x="46"/>
        <item x="105"/>
        <item x="68"/>
        <item x="78"/>
        <item x="49"/>
        <item x="66"/>
        <item x="76"/>
        <item x="87"/>
        <item x="62"/>
        <item x="64"/>
        <item x="5"/>
        <item x="11"/>
        <item x="103"/>
        <item x="122"/>
        <item x="0"/>
        <item x="113"/>
        <item x="58"/>
        <item x="12"/>
        <item x="79"/>
        <item x="50"/>
        <item x="30"/>
        <item x="36"/>
        <item x="107"/>
        <item x="56"/>
        <item x="92"/>
        <item x="84"/>
        <item x="82"/>
        <item x="93"/>
        <item x="51"/>
        <item x="13"/>
        <item x="41"/>
        <item x="29"/>
        <item x="45"/>
        <item x="33"/>
        <item x="77"/>
        <item x="63"/>
        <item x="111"/>
        <item x="26"/>
        <item x="117"/>
        <item x="32"/>
        <item x="27"/>
        <item x="59"/>
        <item t="default"/>
      </items>
    </pivotField>
    <pivotField showAll="0">
      <items count="39">
        <item x="15"/>
        <item x="17"/>
        <item x="11"/>
        <item x="10"/>
        <item x="24"/>
        <item x="23"/>
        <item x="18"/>
        <item x="32"/>
        <item x="29"/>
        <item x="26"/>
        <item x="30"/>
        <item x="34"/>
        <item x="25"/>
        <item x="6"/>
        <item x="8"/>
        <item x="31"/>
        <item x="35"/>
        <item x="14"/>
        <item x="9"/>
        <item x="28"/>
        <item x="22"/>
        <item x="2"/>
        <item x="27"/>
        <item x="16"/>
        <item x="19"/>
        <item x="37"/>
        <item x="13"/>
        <item x="1"/>
        <item x="4"/>
        <item x="5"/>
        <item x="7"/>
        <item x="20"/>
        <item x="36"/>
        <item x="33"/>
        <item x="21"/>
        <item x="12"/>
        <item x="3"/>
        <item x="0"/>
        <item t="default"/>
      </items>
    </pivotField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_revenue" fld="6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98E37-DD05-47A7-8653-10FED1716C1A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19"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dataField="1" showAll="0"/>
    <pivotField showAll="0"/>
    <pivotField showAll="0">
      <items count="126">
        <item x="39"/>
        <item x="16"/>
        <item x="10"/>
        <item x="20"/>
        <item x="121"/>
        <item x="97"/>
        <item x="72"/>
        <item x="48"/>
        <item x="123"/>
        <item x="31"/>
        <item x="94"/>
        <item x="86"/>
        <item x="120"/>
        <item x="112"/>
        <item x="100"/>
        <item x="25"/>
        <item x="85"/>
        <item x="80"/>
        <item x="9"/>
        <item x="74"/>
        <item x="2"/>
        <item x="23"/>
        <item x="114"/>
        <item x="101"/>
        <item x="104"/>
        <item x="35"/>
        <item x="17"/>
        <item x="22"/>
        <item x="96"/>
        <item x="4"/>
        <item x="65"/>
        <item x="115"/>
        <item x="67"/>
        <item x="53"/>
        <item x="91"/>
        <item x="42"/>
        <item x="57"/>
        <item x="61"/>
        <item x="28"/>
        <item x="102"/>
        <item x="75"/>
        <item x="81"/>
        <item x="47"/>
        <item x="34"/>
        <item x="73"/>
        <item x="110"/>
        <item x="70"/>
        <item x="18"/>
        <item x="89"/>
        <item x="52"/>
        <item x="44"/>
        <item x="83"/>
        <item x="119"/>
        <item x="21"/>
        <item x="15"/>
        <item x="43"/>
        <item x="95"/>
        <item x="19"/>
        <item x="118"/>
        <item x="108"/>
        <item x="106"/>
        <item x="69"/>
        <item x="14"/>
        <item x="90"/>
        <item x="54"/>
        <item x="116"/>
        <item x="99"/>
        <item x="37"/>
        <item x="55"/>
        <item x="109"/>
        <item x="40"/>
        <item x="3"/>
        <item x="8"/>
        <item x="124"/>
        <item x="71"/>
        <item x="6"/>
        <item x="60"/>
        <item x="1"/>
        <item x="98"/>
        <item x="7"/>
        <item x="24"/>
        <item x="88"/>
        <item x="38"/>
        <item x="46"/>
        <item x="105"/>
        <item x="68"/>
        <item x="78"/>
        <item x="49"/>
        <item x="66"/>
        <item x="76"/>
        <item x="87"/>
        <item x="62"/>
        <item x="64"/>
        <item x="5"/>
        <item x="11"/>
        <item x="103"/>
        <item x="122"/>
        <item x="0"/>
        <item x="113"/>
        <item x="58"/>
        <item x="12"/>
        <item x="79"/>
        <item x="50"/>
        <item x="30"/>
        <item x="36"/>
        <item x="107"/>
        <item x="56"/>
        <item x="92"/>
        <item x="84"/>
        <item x="82"/>
        <item x="93"/>
        <item x="51"/>
        <item x="13"/>
        <item x="41"/>
        <item x="29"/>
        <item x="45"/>
        <item x="33"/>
        <item x="77"/>
        <item x="63"/>
        <item x="111"/>
        <item x="26"/>
        <item x="117"/>
        <item x="32"/>
        <item x="27"/>
        <item x="59"/>
        <item t="default"/>
      </items>
    </pivotField>
    <pivotField showAll="0">
      <items count="39">
        <item x="15"/>
        <item x="17"/>
        <item x="11"/>
        <item x="10"/>
        <item x="24"/>
        <item x="23"/>
        <item x="18"/>
        <item x="32"/>
        <item x="29"/>
        <item x="26"/>
        <item x="30"/>
        <item x="34"/>
        <item x="25"/>
        <item x="6"/>
        <item x="8"/>
        <item x="31"/>
        <item x="35"/>
        <item x="14"/>
        <item x="9"/>
        <item x="28"/>
        <item x="22"/>
        <item x="2"/>
        <item x="27"/>
        <item x="16"/>
        <item x="19"/>
        <item x="37"/>
        <item x="13"/>
        <item x="1"/>
        <item x="4"/>
        <item x="5"/>
        <item x="7"/>
        <item x="20"/>
        <item x="36"/>
        <item x="33"/>
        <item x="21"/>
        <item x="12"/>
        <item x="3"/>
        <item x="0"/>
        <item t="default"/>
      </items>
    </pivotField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revenue" fld="6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13BA504-1EF3-49C5-B4A3-56DF226C0D08}" autoFormatId="16" applyNumberFormats="0" applyBorderFormats="0" applyFontFormats="0" applyPatternFormats="0" applyAlignmentFormats="0" applyWidthHeightFormats="0">
  <queryTableRefresh nextId="14">
    <queryTableFields count="13">
      <queryTableField id="1" name="subscription_id" tableColumnId="1"/>
      <queryTableField id="2" name="customer_id" tableColumnId="2"/>
      <queryTableField id="3" name="customer_name" tableColumnId="3"/>
      <queryTableField id="4" name="customer_email" tableColumnId="4"/>
      <queryTableField id="5" name="country" tableColumnId="5"/>
      <queryTableField id="6" name="plan" tableColumnId="6"/>
      <queryTableField id="7" name="monthly_price" tableColumnId="7"/>
      <queryTableField id="8" name="status" tableColumnId="8"/>
      <queryTableField id="9" name="start_date" tableColumnId="9"/>
      <queryTableField id="10" name="end_date" tableColumnId="10"/>
      <queryTableField id="11" name="payment_method" tableColumnId="11"/>
      <queryTableField id="12" name="updated_at" tableColumnId="12"/>
      <queryTableField id="13" name="internal_notes" tableColumnId="13"/>
    </queryTableFields>
  </queryTableRefresh>
  <extLst>
    <ext xmlns:x15="http://schemas.microsoft.com/office/spreadsheetml/2010/11/main" uri="{883FBD77-0823-4a55-B5E3-86C4891E6966}">
      <x15:queryTable sourceDataName="Query - subscriptions_raw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B9126-E3AE-4135-8695-F0487ECE957C}" name="subscriptions_raw" displayName="subscriptions_raw" ref="A1:M140" tableType="queryTable" totalsRowShown="0">
  <autoFilter ref="A1:M140" xr:uid="{8B8B9126-E3AE-4135-8695-F0487ECE957C}"/>
  <sortState xmlns:xlrd2="http://schemas.microsoft.com/office/spreadsheetml/2017/richdata2" ref="A2:M140">
    <sortCondition ref="A1:A140"/>
  </sortState>
  <tableColumns count="13">
    <tableColumn id="1" xr3:uid="{371F7A77-7B1A-49B7-8215-DEBD2939EFAE}" uniqueName="1" name="subscription_id" queryTableFieldId="1" dataDxfId="10"/>
    <tableColumn id="2" xr3:uid="{DE97CCC3-738D-4DDC-9DE7-8D9C73A2B206}" uniqueName="2" name="customer_id" queryTableFieldId="2" dataDxfId="9"/>
    <tableColumn id="3" xr3:uid="{15752193-6028-4409-8CD2-3799456F47D6}" uniqueName="3" name="customer_name" queryTableFieldId="3"/>
    <tableColumn id="4" xr3:uid="{1096E316-2E64-4706-9D43-8C61C1545149}" uniqueName="4" name="customer_email" queryTableFieldId="4" dataDxfId="8"/>
    <tableColumn id="5" xr3:uid="{6157CF70-6FCC-4996-9BC5-79FAB207B7D2}" uniqueName="5" name="country" queryTableFieldId="5" dataDxfId="7"/>
    <tableColumn id="6" xr3:uid="{AC24AB6C-1F3D-4271-B146-2F6C638E218C}" uniqueName="6" name="plan" queryTableFieldId="6" dataDxfId="6"/>
    <tableColumn id="7" xr3:uid="{3EE33A7D-86A7-490E-A821-8BDCAE0A3BF5}" uniqueName="7" name="monthly_price" queryTableFieldId="7"/>
    <tableColumn id="8" xr3:uid="{663EE2B7-6B4B-479E-A926-35F3EDECCF11}" uniqueName="8" name="status" queryTableFieldId="8" dataDxfId="5"/>
    <tableColumn id="9" xr3:uid="{9A5336DC-142C-4CA6-8B10-B017B3544965}" uniqueName="9" name="start_date" queryTableFieldId="9" dataDxfId="2"/>
    <tableColumn id="10" xr3:uid="{977118DD-D1C8-4A4A-9C5B-5E9C73F788C1}" uniqueName="10" name="end_date" queryTableFieldId="10" dataDxfId="1"/>
    <tableColumn id="11" xr3:uid="{A031C656-89ED-44BE-B345-6696178C3F92}" uniqueName="11" name="payment_method" queryTableFieldId="11" dataDxfId="4"/>
    <tableColumn id="12" xr3:uid="{706B92DD-24F3-4173-806A-D7E22CC35A6D}" uniqueName="12" name="updated_at" queryTableFieldId="12" dataDxfId="0"/>
    <tableColumn id="13" xr3:uid="{2318F626-B7BE-473A-975B-067F3BD78760}" uniqueName="13" name="internal_notes" queryTableFieldId="13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2FD2-8F00-4C3C-BED4-DD505CE82D1F}">
  <dimension ref="A1:M140"/>
  <sheetViews>
    <sheetView zoomScaleNormal="100" workbookViewId="0">
      <selection activeCell="B8" sqref="B8"/>
    </sheetView>
  </sheetViews>
  <sheetFormatPr defaultRowHeight="14.25" x14ac:dyDescent="0.45"/>
  <cols>
    <col min="1" max="1" width="15.06640625" bestFit="1" customWidth="1"/>
    <col min="2" max="2" width="12.6640625" bestFit="1" customWidth="1"/>
    <col min="3" max="3" width="15.6640625" bestFit="1" customWidth="1"/>
    <col min="4" max="4" width="25.33203125" bestFit="1" customWidth="1"/>
    <col min="5" max="5" width="13.19921875" bestFit="1" customWidth="1"/>
    <col min="6" max="6" width="7.796875" bestFit="1" customWidth="1"/>
    <col min="7" max="7" width="14.06640625" bestFit="1" customWidth="1"/>
    <col min="8" max="8" width="8.59765625" bestFit="1" customWidth="1"/>
    <col min="9" max="9" width="10.796875" bestFit="1" customWidth="1"/>
    <col min="10" max="10" width="10.1328125" bestFit="1" customWidth="1"/>
    <col min="11" max="11" width="16.6640625" bestFit="1" customWidth="1"/>
    <col min="12" max="12" width="14.86328125" bestFit="1" customWidth="1"/>
    <col min="13" max="13" width="22.199218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0</v>
      </c>
      <c r="H2" t="s">
        <v>19</v>
      </c>
      <c r="I2" s="1">
        <v>46046</v>
      </c>
      <c r="J2" s="1"/>
      <c r="K2" t="s">
        <v>20</v>
      </c>
      <c r="L2" s="2">
        <v>46079.763692129629</v>
      </c>
      <c r="M2" t="s">
        <v>21</v>
      </c>
    </row>
    <row r="3" spans="1:13" x14ac:dyDescent="0.45">
      <c r="A3" t="s">
        <v>413</v>
      </c>
      <c r="B3" t="s">
        <v>414</v>
      </c>
      <c r="C3" t="s">
        <v>415</v>
      </c>
      <c r="D3" t="s">
        <v>416</v>
      </c>
      <c r="E3" t="s">
        <v>39</v>
      </c>
      <c r="F3" t="s">
        <v>33</v>
      </c>
      <c r="G3">
        <v>0</v>
      </c>
      <c r="H3" t="s">
        <v>40</v>
      </c>
      <c r="I3" s="1">
        <v>45866</v>
      </c>
      <c r="J3" s="1">
        <v>45997</v>
      </c>
      <c r="K3" t="s">
        <v>27</v>
      </c>
      <c r="L3" s="2">
        <v>46082.610636574071</v>
      </c>
      <c r="M3" t="s">
        <v>21</v>
      </c>
    </row>
    <row r="4" spans="1:13" x14ac:dyDescent="0.45">
      <c r="A4" t="s">
        <v>22</v>
      </c>
      <c r="B4" t="s">
        <v>23</v>
      </c>
      <c r="C4" t="s">
        <v>24</v>
      </c>
      <c r="D4" t="s">
        <v>25</v>
      </c>
      <c r="E4" t="s">
        <v>17</v>
      </c>
      <c r="F4" t="s">
        <v>26</v>
      </c>
      <c r="G4">
        <v>19.989999999999998</v>
      </c>
      <c r="H4" t="s">
        <v>19</v>
      </c>
      <c r="I4" s="1">
        <v>45451</v>
      </c>
      <c r="J4" s="1"/>
      <c r="K4" t="s">
        <v>27</v>
      </c>
      <c r="L4" s="2">
        <v>45595.075648148151</v>
      </c>
      <c r="M4" t="s">
        <v>21</v>
      </c>
    </row>
    <row r="5" spans="1:13" x14ac:dyDescent="0.45">
      <c r="A5" t="s">
        <v>417</v>
      </c>
      <c r="B5" t="s">
        <v>418</v>
      </c>
      <c r="C5" t="s">
        <v>419</v>
      </c>
      <c r="D5" t="s">
        <v>420</v>
      </c>
      <c r="E5" t="s">
        <v>32</v>
      </c>
      <c r="F5" t="s">
        <v>26</v>
      </c>
      <c r="G5">
        <v>19.989999999999998</v>
      </c>
      <c r="H5" t="s">
        <v>40</v>
      </c>
      <c r="I5" s="1">
        <v>45841</v>
      </c>
      <c r="J5" s="1">
        <v>45934</v>
      </c>
      <c r="K5" t="s">
        <v>27</v>
      </c>
      <c r="L5" s="2">
        <v>46047.859143518515</v>
      </c>
      <c r="M5" t="s">
        <v>21</v>
      </c>
    </row>
    <row r="6" spans="1:13" x14ac:dyDescent="0.45">
      <c r="A6" t="s">
        <v>305</v>
      </c>
      <c r="B6" t="s">
        <v>306</v>
      </c>
      <c r="C6" t="s">
        <v>307</v>
      </c>
      <c r="D6" t="s">
        <v>308</v>
      </c>
      <c r="E6" t="s">
        <v>39</v>
      </c>
      <c r="F6" t="s">
        <v>26</v>
      </c>
      <c r="G6">
        <v>19.989999999999998</v>
      </c>
      <c r="H6" t="s">
        <v>19</v>
      </c>
      <c r="I6" s="1">
        <v>45525</v>
      </c>
      <c r="J6" s="1"/>
      <c r="K6" t="s">
        <v>20</v>
      </c>
      <c r="L6" s="2">
        <v>46198.017754629633</v>
      </c>
      <c r="M6" t="s">
        <v>309</v>
      </c>
    </row>
    <row r="7" spans="1:13" x14ac:dyDescent="0.45">
      <c r="A7" t="s">
        <v>421</v>
      </c>
      <c r="B7" t="s">
        <v>422</v>
      </c>
      <c r="C7" t="s">
        <v>423</v>
      </c>
      <c r="D7" t="s">
        <v>424</v>
      </c>
      <c r="E7" t="s">
        <v>66</v>
      </c>
      <c r="F7" t="s">
        <v>18</v>
      </c>
      <c r="G7">
        <v>9.99</v>
      </c>
      <c r="H7" t="s">
        <v>40</v>
      </c>
      <c r="I7" s="1">
        <v>46010</v>
      </c>
      <c r="J7" s="1">
        <v>46290</v>
      </c>
      <c r="K7" t="s">
        <v>75</v>
      </c>
      <c r="L7" s="2">
        <v>46291.620613425926</v>
      </c>
      <c r="M7" t="s">
        <v>21</v>
      </c>
    </row>
    <row r="8" spans="1:13" x14ac:dyDescent="0.45">
      <c r="A8" t="s">
        <v>425</v>
      </c>
      <c r="B8" t="s">
        <v>426</v>
      </c>
      <c r="C8" t="s">
        <v>427</v>
      </c>
      <c r="D8" t="s">
        <v>428</v>
      </c>
      <c r="E8" t="s">
        <v>39</v>
      </c>
      <c r="F8" t="s">
        <v>26</v>
      </c>
      <c r="G8">
        <v>19.989999999999998</v>
      </c>
      <c r="H8" t="s">
        <v>40</v>
      </c>
      <c r="I8" s="1">
        <v>45862</v>
      </c>
      <c r="J8" s="1">
        <v>46004</v>
      </c>
      <c r="K8" t="s">
        <v>75</v>
      </c>
      <c r="L8" s="2">
        <v>46025.724143518521</v>
      </c>
      <c r="M8" t="s">
        <v>341</v>
      </c>
    </row>
    <row r="9" spans="1:13" x14ac:dyDescent="0.4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>
        <v>0</v>
      </c>
      <c r="H9" t="s">
        <v>34</v>
      </c>
      <c r="I9" s="1">
        <v>45872</v>
      </c>
      <c r="J9" s="1"/>
      <c r="K9" t="s">
        <v>27</v>
      </c>
      <c r="L9" s="2">
        <v>46259.764374999999</v>
      </c>
      <c r="M9" t="s">
        <v>21</v>
      </c>
    </row>
    <row r="10" spans="1:13" x14ac:dyDescent="0.45">
      <c r="A10" t="s">
        <v>429</v>
      </c>
      <c r="B10" t="s">
        <v>430</v>
      </c>
      <c r="C10" t="s">
        <v>431</v>
      </c>
      <c r="D10" t="s">
        <v>432</v>
      </c>
      <c r="E10" t="s">
        <v>39</v>
      </c>
      <c r="F10" t="s">
        <v>33</v>
      </c>
      <c r="G10">
        <v>0</v>
      </c>
      <c r="H10" t="s">
        <v>40</v>
      </c>
      <c r="I10" s="1">
        <v>45843</v>
      </c>
      <c r="J10" s="1">
        <v>46007</v>
      </c>
      <c r="K10" t="s">
        <v>20</v>
      </c>
      <c r="L10" s="2">
        <v>46162.111770833333</v>
      </c>
      <c r="M10" t="s">
        <v>21</v>
      </c>
    </row>
    <row r="11" spans="1:13" x14ac:dyDescent="0.45">
      <c r="A11" t="s">
        <v>433</v>
      </c>
      <c r="B11" t="s">
        <v>434</v>
      </c>
      <c r="C11" t="s">
        <v>435</v>
      </c>
      <c r="D11" t="s">
        <v>436</v>
      </c>
      <c r="E11" t="s">
        <v>17</v>
      </c>
      <c r="F11" t="s">
        <v>26</v>
      </c>
      <c r="G11">
        <v>19.989999999999998</v>
      </c>
      <c r="H11" t="s">
        <v>40</v>
      </c>
      <c r="I11" s="1">
        <v>45448</v>
      </c>
      <c r="J11" s="1">
        <v>45799</v>
      </c>
      <c r="K11" t="s">
        <v>27</v>
      </c>
      <c r="L11" s="2">
        <v>45848.343425925923</v>
      </c>
      <c r="M11" t="s">
        <v>21</v>
      </c>
    </row>
    <row r="12" spans="1:13" x14ac:dyDescent="0.45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26</v>
      </c>
      <c r="G12">
        <v>19.989999999999998</v>
      </c>
      <c r="H12" t="s">
        <v>40</v>
      </c>
      <c r="I12" s="1">
        <v>45303</v>
      </c>
      <c r="J12" s="1"/>
      <c r="K12" t="s">
        <v>20</v>
      </c>
      <c r="L12" s="2">
        <v>46264.224027777775</v>
      </c>
      <c r="M12" t="s">
        <v>21</v>
      </c>
    </row>
    <row r="13" spans="1:13" x14ac:dyDescent="0.45">
      <c r="A13" t="s">
        <v>41</v>
      </c>
      <c r="B13" t="s">
        <v>42</v>
      </c>
      <c r="C13" t="s">
        <v>43</v>
      </c>
      <c r="D13" t="s">
        <v>44</v>
      </c>
      <c r="E13" t="s">
        <v>32</v>
      </c>
      <c r="F13" t="s">
        <v>18</v>
      </c>
      <c r="G13">
        <v>9.99</v>
      </c>
      <c r="H13" t="s">
        <v>19</v>
      </c>
      <c r="I13" s="1">
        <v>46031</v>
      </c>
      <c r="J13" s="1"/>
      <c r="K13" t="s">
        <v>49</v>
      </c>
      <c r="L13" s="2">
        <v>46100.381504629629</v>
      </c>
      <c r="M13" t="s">
        <v>21</v>
      </c>
    </row>
    <row r="14" spans="1:13" x14ac:dyDescent="0.45">
      <c r="A14" t="s">
        <v>45</v>
      </c>
      <c r="B14" t="s">
        <v>46</v>
      </c>
      <c r="C14" t="s">
        <v>47</v>
      </c>
      <c r="D14" t="s">
        <v>48</v>
      </c>
      <c r="E14" t="s">
        <v>17</v>
      </c>
      <c r="F14" t="s">
        <v>18</v>
      </c>
      <c r="G14">
        <v>9.99</v>
      </c>
      <c r="H14" t="s">
        <v>19</v>
      </c>
      <c r="I14" s="1">
        <v>46072</v>
      </c>
      <c r="J14" s="1"/>
      <c r="K14" t="s">
        <v>49</v>
      </c>
      <c r="L14" s="2">
        <v>46277.968935185185</v>
      </c>
      <c r="M14" t="s">
        <v>21</v>
      </c>
    </row>
    <row r="15" spans="1:13" x14ac:dyDescent="0.45">
      <c r="A15" t="s">
        <v>50</v>
      </c>
      <c r="B15" t="s">
        <v>51</v>
      </c>
      <c r="C15" t="s">
        <v>52</v>
      </c>
      <c r="D15" t="s">
        <v>53</v>
      </c>
      <c r="E15" t="s">
        <v>39</v>
      </c>
      <c r="F15" t="s">
        <v>33</v>
      </c>
      <c r="G15">
        <v>0</v>
      </c>
      <c r="H15" t="s">
        <v>19</v>
      </c>
      <c r="I15" s="1">
        <v>46143</v>
      </c>
      <c r="J15" s="1"/>
      <c r="K15" t="s">
        <v>49</v>
      </c>
      <c r="L15" s="2">
        <v>46253.16978009259</v>
      </c>
      <c r="M15" t="s">
        <v>21</v>
      </c>
    </row>
    <row r="16" spans="1:13" x14ac:dyDescent="0.45">
      <c r="A16" t="s">
        <v>54</v>
      </c>
      <c r="B16" t="s">
        <v>55</v>
      </c>
      <c r="C16" t="s">
        <v>56</v>
      </c>
      <c r="D16" t="s">
        <v>57</v>
      </c>
      <c r="E16" t="s">
        <v>32</v>
      </c>
      <c r="F16" t="s">
        <v>26</v>
      </c>
      <c r="G16">
        <v>19.989999999999998</v>
      </c>
      <c r="H16" t="s">
        <v>19</v>
      </c>
      <c r="I16" s="1">
        <v>45778</v>
      </c>
      <c r="J16" s="1"/>
      <c r="K16" t="s">
        <v>27</v>
      </c>
      <c r="L16" s="2">
        <v>46249.155416666668</v>
      </c>
      <c r="M16" t="s">
        <v>21</v>
      </c>
    </row>
    <row r="17" spans="1:13" x14ac:dyDescent="0.45">
      <c r="A17" t="s">
        <v>437</v>
      </c>
      <c r="B17" t="s">
        <v>438</v>
      </c>
      <c r="C17" t="s">
        <v>439</v>
      </c>
      <c r="D17" t="s">
        <v>440</v>
      </c>
      <c r="E17" t="s">
        <v>66</v>
      </c>
      <c r="F17" t="s">
        <v>26</v>
      </c>
      <c r="G17">
        <v>19.989999999999998</v>
      </c>
      <c r="H17" t="s">
        <v>40</v>
      </c>
      <c r="I17" s="1">
        <v>45700</v>
      </c>
      <c r="J17" s="1">
        <v>46073</v>
      </c>
      <c r="K17" t="s">
        <v>20</v>
      </c>
      <c r="L17" s="2">
        <v>46248.339826388888</v>
      </c>
      <c r="M17" t="s">
        <v>320</v>
      </c>
    </row>
    <row r="18" spans="1:13" x14ac:dyDescent="0.45">
      <c r="A18" t="s">
        <v>58</v>
      </c>
      <c r="B18" t="s">
        <v>59</v>
      </c>
      <c r="C18" t="s">
        <v>60</v>
      </c>
      <c r="D18" t="s">
        <v>61</v>
      </c>
      <c r="E18" t="s">
        <v>17</v>
      </c>
      <c r="F18" t="s">
        <v>18</v>
      </c>
      <c r="G18">
        <v>9.99</v>
      </c>
      <c r="H18" t="s">
        <v>19</v>
      </c>
      <c r="I18" s="1">
        <v>45299</v>
      </c>
      <c r="J18" s="1"/>
      <c r="K18" t="s">
        <v>27</v>
      </c>
      <c r="L18" s="2">
        <v>45403.70275462963</v>
      </c>
      <c r="M18" t="s">
        <v>21</v>
      </c>
    </row>
    <row r="19" spans="1:13" x14ac:dyDescent="0.45">
      <c r="A19" t="s">
        <v>441</v>
      </c>
      <c r="B19" t="s">
        <v>442</v>
      </c>
      <c r="C19" t="s">
        <v>443</v>
      </c>
      <c r="D19" t="s">
        <v>444</v>
      </c>
      <c r="E19" t="s">
        <v>17</v>
      </c>
      <c r="F19" t="s">
        <v>33</v>
      </c>
      <c r="G19">
        <v>0</v>
      </c>
      <c r="H19" t="s">
        <v>40</v>
      </c>
      <c r="I19" s="1">
        <v>45511</v>
      </c>
      <c r="J19" s="1">
        <v>45817</v>
      </c>
      <c r="K19" t="s">
        <v>20</v>
      </c>
      <c r="L19" s="2">
        <v>46264.556817129633</v>
      </c>
      <c r="M19" t="s">
        <v>21</v>
      </c>
    </row>
    <row r="20" spans="1:13" x14ac:dyDescent="0.45">
      <c r="A20" t="s">
        <v>445</v>
      </c>
      <c r="B20" t="s">
        <v>446</v>
      </c>
      <c r="C20" t="s">
        <v>447</v>
      </c>
      <c r="D20" t="s">
        <v>448</v>
      </c>
      <c r="E20" t="s">
        <v>17</v>
      </c>
      <c r="F20" t="s">
        <v>33</v>
      </c>
      <c r="G20">
        <v>0</v>
      </c>
      <c r="H20" t="s">
        <v>40</v>
      </c>
      <c r="I20" s="1">
        <v>45654</v>
      </c>
      <c r="J20" s="1">
        <v>45900</v>
      </c>
      <c r="K20" t="s">
        <v>75</v>
      </c>
      <c r="L20" s="2">
        <v>45976.443414351852</v>
      </c>
      <c r="M20" t="s">
        <v>336</v>
      </c>
    </row>
    <row r="21" spans="1:13" x14ac:dyDescent="0.45">
      <c r="A21" t="s">
        <v>67</v>
      </c>
      <c r="B21" t="s">
        <v>68</v>
      </c>
      <c r="C21" t="s">
        <v>69</v>
      </c>
      <c r="D21" t="s">
        <v>70</v>
      </c>
      <c r="E21" t="s">
        <v>17</v>
      </c>
      <c r="F21" t="s">
        <v>33</v>
      </c>
      <c r="G21">
        <v>0</v>
      </c>
      <c r="H21" t="s">
        <v>19</v>
      </c>
      <c r="I21" s="1">
        <v>45724</v>
      </c>
      <c r="J21" s="1"/>
      <c r="K21" t="s">
        <v>27</v>
      </c>
      <c r="L21" s="2">
        <v>45782.553171296298</v>
      </c>
      <c r="M21" t="s">
        <v>21</v>
      </c>
    </row>
    <row r="22" spans="1:13" x14ac:dyDescent="0.45">
      <c r="A22" t="s">
        <v>310</v>
      </c>
      <c r="B22" t="s">
        <v>311</v>
      </c>
      <c r="C22" t="s">
        <v>312</v>
      </c>
      <c r="D22" t="s">
        <v>313</v>
      </c>
      <c r="E22" t="s">
        <v>32</v>
      </c>
      <c r="F22" t="s">
        <v>26</v>
      </c>
      <c r="G22">
        <v>19.989999999999998</v>
      </c>
      <c r="H22" t="s">
        <v>19</v>
      </c>
      <c r="I22" s="1">
        <v>45307</v>
      </c>
      <c r="J22" s="1"/>
      <c r="K22" t="s">
        <v>75</v>
      </c>
      <c r="L22" s="2">
        <v>45674.20275462963</v>
      </c>
      <c r="M22" t="s">
        <v>314</v>
      </c>
    </row>
    <row r="23" spans="1:13" x14ac:dyDescent="0.45">
      <c r="A23" t="s">
        <v>71</v>
      </c>
      <c r="B23" t="s">
        <v>72</v>
      </c>
      <c r="C23" t="s">
        <v>73</v>
      </c>
      <c r="D23" t="s">
        <v>74</v>
      </c>
      <c r="E23" t="s">
        <v>17</v>
      </c>
      <c r="F23" t="s">
        <v>33</v>
      </c>
      <c r="G23">
        <v>0</v>
      </c>
      <c r="H23" t="s">
        <v>19</v>
      </c>
      <c r="I23" s="1">
        <v>45691</v>
      </c>
      <c r="J23" s="1"/>
      <c r="K23" t="s">
        <v>75</v>
      </c>
      <c r="L23" s="2">
        <v>45912.559618055559</v>
      </c>
      <c r="M23" t="s">
        <v>21</v>
      </c>
    </row>
    <row r="24" spans="1:13" x14ac:dyDescent="0.45">
      <c r="A24" t="s">
        <v>76</v>
      </c>
      <c r="B24" t="s">
        <v>77</v>
      </c>
      <c r="C24" t="s">
        <v>78</v>
      </c>
      <c r="D24" t="s">
        <v>79</v>
      </c>
      <c r="E24" t="s">
        <v>32</v>
      </c>
      <c r="F24" t="s">
        <v>18</v>
      </c>
      <c r="G24">
        <v>9.99</v>
      </c>
      <c r="H24" t="s">
        <v>19</v>
      </c>
      <c r="I24" s="1">
        <v>45514</v>
      </c>
      <c r="J24" s="1"/>
      <c r="K24" t="s">
        <v>49</v>
      </c>
      <c r="L24" s="2">
        <v>45608.694282407407</v>
      </c>
      <c r="M24" t="s">
        <v>21</v>
      </c>
    </row>
    <row r="25" spans="1:13" x14ac:dyDescent="0.45">
      <c r="A25" t="s">
        <v>449</v>
      </c>
      <c r="B25" t="s">
        <v>450</v>
      </c>
      <c r="C25" t="s">
        <v>451</v>
      </c>
      <c r="D25" t="s">
        <v>452</v>
      </c>
      <c r="E25" t="s">
        <v>32</v>
      </c>
      <c r="F25" t="s">
        <v>18</v>
      </c>
      <c r="G25">
        <v>9.99</v>
      </c>
      <c r="H25" t="s">
        <v>40</v>
      </c>
      <c r="I25" s="1">
        <v>45453</v>
      </c>
      <c r="J25" s="1">
        <v>45512</v>
      </c>
      <c r="K25" t="s">
        <v>20</v>
      </c>
      <c r="L25" s="2">
        <v>45618.444178240738</v>
      </c>
      <c r="M25" t="s">
        <v>21</v>
      </c>
    </row>
    <row r="26" spans="1:13" x14ac:dyDescent="0.45">
      <c r="A26" t="s">
        <v>80</v>
      </c>
      <c r="B26" t="s">
        <v>81</v>
      </c>
      <c r="C26" t="s">
        <v>82</v>
      </c>
      <c r="D26" t="s">
        <v>83</v>
      </c>
      <c r="E26" t="s">
        <v>66</v>
      </c>
      <c r="F26" t="s">
        <v>26</v>
      </c>
      <c r="G26">
        <v>19.989999999999998</v>
      </c>
      <c r="H26" t="s">
        <v>19</v>
      </c>
      <c r="I26" s="1">
        <v>45884</v>
      </c>
      <c r="J26" s="1"/>
      <c r="K26" t="s">
        <v>27</v>
      </c>
      <c r="L26" s="2">
        <v>46290.057337962964</v>
      </c>
      <c r="M26" t="s">
        <v>21</v>
      </c>
    </row>
    <row r="27" spans="1:13" x14ac:dyDescent="0.45">
      <c r="A27" t="s">
        <v>315</v>
      </c>
      <c r="B27" t="s">
        <v>316</v>
      </c>
      <c r="C27" t="s">
        <v>317</v>
      </c>
      <c r="D27" t="s">
        <v>318</v>
      </c>
      <c r="E27" t="s">
        <v>39</v>
      </c>
      <c r="F27" t="s">
        <v>18</v>
      </c>
      <c r="G27">
        <v>0</v>
      </c>
      <c r="H27" t="s">
        <v>19</v>
      </c>
      <c r="I27" s="1">
        <v>45426</v>
      </c>
      <c r="J27" s="1"/>
      <c r="K27" t="s">
        <v>27</v>
      </c>
      <c r="L27" s="2">
        <v>45538.691805555558</v>
      </c>
      <c r="M27" t="s">
        <v>319</v>
      </c>
    </row>
    <row r="28" spans="1:13" x14ac:dyDescent="0.45">
      <c r="A28" t="s">
        <v>84</v>
      </c>
      <c r="B28" t="s">
        <v>85</v>
      </c>
      <c r="C28" t="s">
        <v>86</v>
      </c>
      <c r="D28" t="s">
        <v>87</v>
      </c>
      <c r="E28" t="s">
        <v>17</v>
      </c>
      <c r="F28" t="s">
        <v>33</v>
      </c>
      <c r="G28">
        <v>0</v>
      </c>
      <c r="H28" t="s">
        <v>19</v>
      </c>
      <c r="I28" s="1">
        <v>46247</v>
      </c>
      <c r="J28" s="1"/>
      <c r="K28" t="s">
        <v>20</v>
      </c>
      <c r="L28" s="2">
        <v>46264.938750000001</v>
      </c>
      <c r="M28" t="s">
        <v>21</v>
      </c>
    </row>
    <row r="29" spans="1:13" x14ac:dyDescent="0.45">
      <c r="A29" t="s">
        <v>88</v>
      </c>
      <c r="B29" t="s">
        <v>89</v>
      </c>
      <c r="C29" t="s">
        <v>90</v>
      </c>
      <c r="D29" t="s">
        <v>91</v>
      </c>
      <c r="E29" t="s">
        <v>66</v>
      </c>
      <c r="F29" t="s">
        <v>18</v>
      </c>
      <c r="G29">
        <v>9.99</v>
      </c>
      <c r="H29" t="s">
        <v>34</v>
      </c>
      <c r="I29" s="1">
        <v>59475</v>
      </c>
      <c r="J29" s="1"/>
      <c r="K29" t="s">
        <v>75</v>
      </c>
      <c r="L29" s="2">
        <v>46077.267164351855</v>
      </c>
      <c r="M29" t="s">
        <v>21</v>
      </c>
    </row>
    <row r="30" spans="1:13" x14ac:dyDescent="0.45">
      <c r="A30" t="s">
        <v>453</v>
      </c>
      <c r="B30" t="s">
        <v>454</v>
      </c>
      <c r="C30" t="s">
        <v>455</v>
      </c>
      <c r="D30" t="s">
        <v>456</v>
      </c>
      <c r="E30" t="s">
        <v>17</v>
      </c>
      <c r="F30" t="s">
        <v>26</v>
      </c>
      <c r="G30">
        <v>19.989999999999998</v>
      </c>
      <c r="H30" t="s">
        <v>40</v>
      </c>
      <c r="I30" s="1">
        <v>45451</v>
      </c>
      <c r="J30" s="1">
        <v>45441</v>
      </c>
      <c r="K30" t="s">
        <v>75</v>
      </c>
      <c r="L30" s="2">
        <v>45778.138703703706</v>
      </c>
      <c r="M30" t="s">
        <v>21</v>
      </c>
    </row>
    <row r="31" spans="1:13" x14ac:dyDescent="0.45">
      <c r="A31" t="s">
        <v>457</v>
      </c>
      <c r="B31" t="s">
        <v>458</v>
      </c>
      <c r="C31" t="s">
        <v>459</v>
      </c>
      <c r="D31" t="s">
        <v>460</v>
      </c>
      <c r="E31" t="s">
        <v>17</v>
      </c>
      <c r="F31" t="s">
        <v>18</v>
      </c>
      <c r="G31">
        <v>9.99</v>
      </c>
      <c r="H31" t="s">
        <v>40</v>
      </c>
      <c r="I31" s="1">
        <v>45866</v>
      </c>
      <c r="J31" s="1">
        <v>45900</v>
      </c>
      <c r="K31" t="s">
        <v>20</v>
      </c>
      <c r="L31" s="2">
        <v>46015.773877314816</v>
      </c>
      <c r="M31" t="s">
        <v>21</v>
      </c>
    </row>
    <row r="32" spans="1:13" x14ac:dyDescent="0.45">
      <c r="A32" t="s">
        <v>321</v>
      </c>
      <c r="B32" t="s">
        <v>322</v>
      </c>
      <c r="C32" t="s">
        <v>323</v>
      </c>
      <c r="D32" t="s">
        <v>324</v>
      </c>
      <c r="E32" t="s">
        <v>17</v>
      </c>
      <c r="F32" t="s">
        <v>33</v>
      </c>
      <c r="G32">
        <v>0</v>
      </c>
      <c r="H32" t="s">
        <v>19</v>
      </c>
      <c r="I32" s="1">
        <v>45607</v>
      </c>
      <c r="J32" s="1"/>
      <c r="K32" t="s">
        <v>75</v>
      </c>
      <c r="L32" s="2">
        <v>46275.527453703704</v>
      </c>
      <c r="M32" t="s">
        <v>309</v>
      </c>
    </row>
    <row r="33" spans="1:13" x14ac:dyDescent="0.45">
      <c r="A33" t="s">
        <v>461</v>
      </c>
      <c r="B33" t="s">
        <v>462</v>
      </c>
      <c r="C33" t="s">
        <v>463</v>
      </c>
      <c r="D33" t="s">
        <v>464</v>
      </c>
      <c r="E33" t="s">
        <v>17</v>
      </c>
      <c r="F33" t="s">
        <v>18</v>
      </c>
      <c r="G33">
        <v>9.99</v>
      </c>
      <c r="H33" t="s">
        <v>19</v>
      </c>
      <c r="I33" s="1">
        <v>46187</v>
      </c>
      <c r="J33" s="1">
        <v>46283</v>
      </c>
      <c r="K33" t="s">
        <v>75</v>
      </c>
      <c r="L33" s="2">
        <v>46232.969826388886</v>
      </c>
      <c r="M33" t="s">
        <v>21</v>
      </c>
    </row>
    <row r="34" spans="1:13" x14ac:dyDescent="0.45">
      <c r="A34" t="s">
        <v>92</v>
      </c>
      <c r="B34" t="s">
        <v>93</v>
      </c>
      <c r="C34" t="s">
        <v>94</v>
      </c>
      <c r="D34" t="s">
        <v>95</v>
      </c>
      <c r="E34" t="s">
        <v>32</v>
      </c>
      <c r="F34" t="s">
        <v>33</v>
      </c>
      <c r="G34">
        <v>0</v>
      </c>
      <c r="H34" t="s">
        <v>34</v>
      </c>
      <c r="I34" s="1">
        <v>46093</v>
      </c>
      <c r="J34" s="1"/>
      <c r="K34" t="s">
        <v>49</v>
      </c>
      <c r="L34" s="2">
        <v>46189.378587962965</v>
      </c>
      <c r="M34" t="s">
        <v>21</v>
      </c>
    </row>
    <row r="35" spans="1:13" x14ac:dyDescent="0.45">
      <c r="A35" t="s">
        <v>96</v>
      </c>
      <c r="B35" t="s">
        <v>97</v>
      </c>
      <c r="C35" t="s">
        <v>98</v>
      </c>
      <c r="D35" t="s">
        <v>99</v>
      </c>
      <c r="E35" t="s">
        <v>32</v>
      </c>
      <c r="F35" t="s">
        <v>18</v>
      </c>
      <c r="G35">
        <v>9.99</v>
      </c>
      <c r="H35" t="s">
        <v>19</v>
      </c>
      <c r="I35" s="1">
        <v>45363</v>
      </c>
      <c r="J35" s="1"/>
      <c r="K35" t="s">
        <v>27</v>
      </c>
      <c r="L35" s="2">
        <v>46154.334166666667</v>
      </c>
      <c r="M35" t="s">
        <v>21</v>
      </c>
    </row>
    <row r="36" spans="1:13" x14ac:dyDescent="0.45">
      <c r="A36" t="s">
        <v>100</v>
      </c>
      <c r="B36" t="s">
        <v>101</v>
      </c>
      <c r="C36" t="s">
        <v>102</v>
      </c>
      <c r="D36" t="s">
        <v>103</v>
      </c>
      <c r="E36" t="s">
        <v>66</v>
      </c>
      <c r="F36" t="s">
        <v>33</v>
      </c>
      <c r="G36">
        <v>0</v>
      </c>
      <c r="H36" t="s">
        <v>34</v>
      </c>
      <c r="I36" s="1">
        <v>59353</v>
      </c>
      <c r="J36" s="1"/>
      <c r="K36" t="s">
        <v>27</v>
      </c>
      <c r="L36" s="2">
        <v>46149.071296296293</v>
      </c>
      <c r="M36" t="s">
        <v>21</v>
      </c>
    </row>
    <row r="37" spans="1:13" x14ac:dyDescent="0.45">
      <c r="A37" t="s">
        <v>325</v>
      </c>
      <c r="B37" t="s">
        <v>326</v>
      </c>
      <c r="C37" t="s">
        <v>30</v>
      </c>
      <c r="D37" t="s">
        <v>327</v>
      </c>
      <c r="E37" t="s">
        <v>66</v>
      </c>
      <c r="F37" t="s">
        <v>26</v>
      </c>
      <c r="G37">
        <v>19.989999999999998</v>
      </c>
      <c r="H37" t="s">
        <v>19</v>
      </c>
      <c r="I37" s="1">
        <v>46213</v>
      </c>
      <c r="J37" s="1"/>
      <c r="K37" t="s">
        <v>27</v>
      </c>
      <c r="L37" s="2">
        <v>46255.33697916667</v>
      </c>
      <c r="M37" t="s">
        <v>319</v>
      </c>
    </row>
    <row r="38" spans="1:13" x14ac:dyDescent="0.45">
      <c r="A38" t="s">
        <v>465</v>
      </c>
      <c r="B38" t="s">
        <v>466</v>
      </c>
      <c r="C38" t="s">
        <v>467</v>
      </c>
      <c r="D38" t="s">
        <v>468</v>
      </c>
      <c r="E38" t="s">
        <v>17</v>
      </c>
      <c r="F38" t="s">
        <v>33</v>
      </c>
      <c r="G38">
        <v>0</v>
      </c>
      <c r="H38" t="s">
        <v>40</v>
      </c>
      <c r="I38" s="1">
        <v>45630</v>
      </c>
      <c r="J38" s="1">
        <v>45979</v>
      </c>
      <c r="K38" t="s">
        <v>27</v>
      </c>
      <c r="L38" s="2">
        <v>46095.633599537039</v>
      </c>
      <c r="M38" t="s">
        <v>21</v>
      </c>
    </row>
    <row r="39" spans="1:13" x14ac:dyDescent="0.45">
      <c r="A39" t="s">
        <v>104</v>
      </c>
      <c r="B39" t="s">
        <v>105</v>
      </c>
      <c r="C39" t="s">
        <v>106</v>
      </c>
      <c r="D39" t="s">
        <v>107</v>
      </c>
      <c r="E39" t="s">
        <v>17</v>
      </c>
      <c r="F39" t="s">
        <v>26</v>
      </c>
      <c r="G39">
        <v>19.989999999999998</v>
      </c>
      <c r="H39" t="s">
        <v>19</v>
      </c>
      <c r="I39" s="1">
        <v>45488</v>
      </c>
      <c r="J39" s="1"/>
      <c r="K39" t="s">
        <v>49</v>
      </c>
      <c r="L39" s="2">
        <v>45758.342060185183</v>
      </c>
      <c r="M39" t="s">
        <v>21</v>
      </c>
    </row>
    <row r="40" spans="1:13" x14ac:dyDescent="0.45">
      <c r="A40" t="s">
        <v>108</v>
      </c>
      <c r="B40" t="s">
        <v>109</v>
      </c>
      <c r="C40" t="s">
        <v>110</v>
      </c>
      <c r="D40" t="s">
        <v>111</v>
      </c>
      <c r="E40" t="s">
        <v>66</v>
      </c>
      <c r="F40" t="s">
        <v>18</v>
      </c>
      <c r="G40">
        <v>9.99</v>
      </c>
      <c r="H40" t="s">
        <v>19</v>
      </c>
      <c r="I40" s="1">
        <v>46096</v>
      </c>
      <c r="J40" s="1"/>
      <c r="K40" t="s">
        <v>27</v>
      </c>
      <c r="L40" s="2">
        <v>46267.572662037041</v>
      </c>
      <c r="M40" t="s">
        <v>21</v>
      </c>
    </row>
    <row r="41" spans="1:13" x14ac:dyDescent="0.45">
      <c r="A41" t="s">
        <v>469</v>
      </c>
      <c r="B41" t="s">
        <v>470</v>
      </c>
      <c r="C41" t="s">
        <v>471</v>
      </c>
      <c r="D41" t="s">
        <v>472</v>
      </c>
      <c r="E41" t="s">
        <v>39</v>
      </c>
      <c r="F41" t="s">
        <v>33</v>
      </c>
      <c r="G41">
        <v>0</v>
      </c>
      <c r="H41" t="s">
        <v>19</v>
      </c>
      <c r="I41" s="1">
        <v>45819</v>
      </c>
      <c r="J41" s="1">
        <v>45891</v>
      </c>
      <c r="K41" t="s">
        <v>27</v>
      </c>
      <c r="L41" s="2">
        <v>46001.427824074075</v>
      </c>
      <c r="M41" t="s">
        <v>21</v>
      </c>
    </row>
    <row r="42" spans="1:13" x14ac:dyDescent="0.45">
      <c r="A42" t="s">
        <v>112</v>
      </c>
      <c r="B42" t="s">
        <v>113</v>
      </c>
      <c r="C42" t="s">
        <v>114</v>
      </c>
      <c r="D42" t="s">
        <v>115</v>
      </c>
      <c r="E42" t="s">
        <v>39</v>
      </c>
      <c r="F42" t="s">
        <v>33</v>
      </c>
      <c r="G42">
        <v>0</v>
      </c>
      <c r="H42" t="s">
        <v>34</v>
      </c>
      <c r="I42" s="1">
        <v>45917</v>
      </c>
      <c r="J42" s="1"/>
      <c r="K42" t="s">
        <v>27</v>
      </c>
      <c r="L42" s="2">
        <v>46261.141435185185</v>
      </c>
      <c r="M42" t="s">
        <v>21</v>
      </c>
    </row>
    <row r="43" spans="1:13" x14ac:dyDescent="0.45">
      <c r="A43" t="s">
        <v>473</v>
      </c>
      <c r="B43" t="s">
        <v>474</v>
      </c>
      <c r="C43" t="s">
        <v>475</v>
      </c>
      <c r="D43" t="s">
        <v>476</v>
      </c>
      <c r="E43" t="s">
        <v>39</v>
      </c>
      <c r="F43" t="s">
        <v>33</v>
      </c>
      <c r="G43">
        <v>0</v>
      </c>
      <c r="H43" t="s">
        <v>40</v>
      </c>
      <c r="I43" s="1">
        <v>45297</v>
      </c>
      <c r="J43" s="1">
        <v>45262</v>
      </c>
      <c r="K43" t="s">
        <v>27</v>
      </c>
      <c r="L43" s="2">
        <v>46185.619351851848</v>
      </c>
      <c r="M43" t="s">
        <v>21</v>
      </c>
    </row>
    <row r="44" spans="1:13" x14ac:dyDescent="0.45">
      <c r="A44" t="s">
        <v>116</v>
      </c>
      <c r="B44" t="s">
        <v>117</v>
      </c>
      <c r="C44" t="s">
        <v>118</v>
      </c>
      <c r="D44" t="s">
        <v>119</v>
      </c>
      <c r="E44" t="s">
        <v>32</v>
      </c>
      <c r="F44" t="s">
        <v>33</v>
      </c>
      <c r="G44">
        <v>0</v>
      </c>
      <c r="H44" t="s">
        <v>19</v>
      </c>
      <c r="I44" s="1">
        <v>45835</v>
      </c>
      <c r="J44" s="1"/>
      <c r="K44" t="s">
        <v>49</v>
      </c>
      <c r="L44" s="2">
        <v>46178.756932870368</v>
      </c>
      <c r="M44" t="s">
        <v>21</v>
      </c>
    </row>
    <row r="45" spans="1:13" x14ac:dyDescent="0.45">
      <c r="A45" t="s">
        <v>120</v>
      </c>
      <c r="B45" t="s">
        <v>121</v>
      </c>
      <c r="C45" t="s">
        <v>122</v>
      </c>
      <c r="D45" t="s">
        <v>123</v>
      </c>
      <c r="E45" t="s">
        <v>66</v>
      </c>
      <c r="F45" t="s">
        <v>18</v>
      </c>
      <c r="G45">
        <v>9.99</v>
      </c>
      <c r="H45" t="s">
        <v>19</v>
      </c>
      <c r="I45" s="1">
        <v>46174</v>
      </c>
      <c r="J45" s="1"/>
      <c r="K45" t="s">
        <v>75</v>
      </c>
      <c r="L45" s="2">
        <v>46227.84851851852</v>
      </c>
      <c r="M45" t="s">
        <v>21</v>
      </c>
    </row>
    <row r="46" spans="1:13" x14ac:dyDescent="0.45">
      <c r="A46" t="s">
        <v>328</v>
      </c>
      <c r="B46" t="s">
        <v>329</v>
      </c>
      <c r="C46" t="s">
        <v>330</v>
      </c>
      <c r="D46" t="s">
        <v>331</v>
      </c>
      <c r="E46" t="s">
        <v>17</v>
      </c>
      <c r="F46" t="s">
        <v>18</v>
      </c>
      <c r="G46">
        <v>9.99</v>
      </c>
      <c r="H46" t="s">
        <v>19</v>
      </c>
      <c r="I46" s="1">
        <v>45584</v>
      </c>
      <c r="J46" s="1"/>
      <c r="K46" t="s">
        <v>27</v>
      </c>
      <c r="L46" s="2">
        <v>46003.548634259256</v>
      </c>
      <c r="M46" t="s">
        <v>320</v>
      </c>
    </row>
    <row r="47" spans="1:13" x14ac:dyDescent="0.45">
      <c r="A47" t="s">
        <v>124</v>
      </c>
      <c r="B47" t="s">
        <v>125</v>
      </c>
      <c r="C47" t="s">
        <v>126</v>
      </c>
      <c r="D47" t="s">
        <v>127</v>
      </c>
      <c r="E47" t="s">
        <v>17</v>
      </c>
      <c r="F47" t="s">
        <v>26</v>
      </c>
      <c r="G47">
        <v>19.989999999999998</v>
      </c>
      <c r="H47" t="s">
        <v>19</v>
      </c>
      <c r="I47" s="1">
        <v>45709</v>
      </c>
      <c r="J47" s="1"/>
      <c r="K47" t="s">
        <v>27</v>
      </c>
      <c r="L47" s="2">
        <v>45869.653009259258</v>
      </c>
      <c r="M47" t="s">
        <v>21</v>
      </c>
    </row>
    <row r="48" spans="1:13" x14ac:dyDescent="0.45">
      <c r="A48" t="s">
        <v>477</v>
      </c>
      <c r="B48" t="s">
        <v>478</v>
      </c>
      <c r="C48" t="s">
        <v>479</v>
      </c>
      <c r="D48" t="s">
        <v>480</v>
      </c>
      <c r="E48" t="s">
        <v>17</v>
      </c>
      <c r="F48" t="s">
        <v>26</v>
      </c>
      <c r="G48">
        <v>19.989999999999998</v>
      </c>
      <c r="H48" t="s">
        <v>40</v>
      </c>
      <c r="I48" s="1">
        <v>45681</v>
      </c>
      <c r="J48" s="1">
        <v>45955</v>
      </c>
      <c r="K48" t="s">
        <v>27</v>
      </c>
      <c r="L48" s="2">
        <v>46106.455787037034</v>
      </c>
      <c r="M48" t="s">
        <v>21</v>
      </c>
    </row>
    <row r="49" spans="1:13" x14ac:dyDescent="0.45">
      <c r="A49" t="s">
        <v>481</v>
      </c>
      <c r="B49" t="s">
        <v>482</v>
      </c>
      <c r="C49" t="s">
        <v>483</v>
      </c>
      <c r="D49" t="s">
        <v>484</v>
      </c>
      <c r="E49" t="s">
        <v>66</v>
      </c>
      <c r="F49" t="s">
        <v>26</v>
      </c>
      <c r="G49">
        <v>19.989999999999998</v>
      </c>
      <c r="H49" t="s">
        <v>40</v>
      </c>
      <c r="I49" s="1">
        <v>46211</v>
      </c>
      <c r="J49" s="1">
        <v>46290</v>
      </c>
      <c r="K49" t="s">
        <v>27</v>
      </c>
      <c r="L49" s="2">
        <v>46290.088055555556</v>
      </c>
      <c r="M49" t="s">
        <v>21</v>
      </c>
    </row>
    <row r="50" spans="1:13" x14ac:dyDescent="0.45">
      <c r="A50" t="s">
        <v>128</v>
      </c>
      <c r="B50" t="s">
        <v>129</v>
      </c>
      <c r="C50" t="s">
        <v>130</v>
      </c>
      <c r="D50" t="s">
        <v>131</v>
      </c>
      <c r="E50" t="s">
        <v>66</v>
      </c>
      <c r="F50" t="s">
        <v>26</v>
      </c>
      <c r="G50">
        <v>19.989999999999998</v>
      </c>
      <c r="H50" t="s">
        <v>34</v>
      </c>
      <c r="I50" s="1">
        <v>45929</v>
      </c>
      <c r="J50" s="1"/>
      <c r="K50" t="s">
        <v>27</v>
      </c>
      <c r="L50" s="2">
        <v>46148.188101851854</v>
      </c>
      <c r="M50" t="s">
        <v>21</v>
      </c>
    </row>
    <row r="51" spans="1:13" x14ac:dyDescent="0.45">
      <c r="A51" t="s">
        <v>132</v>
      </c>
      <c r="B51" t="s">
        <v>133</v>
      </c>
      <c r="C51" t="s">
        <v>134</v>
      </c>
      <c r="D51" t="s">
        <v>135</v>
      </c>
      <c r="E51" t="s">
        <v>17</v>
      </c>
      <c r="F51" t="s">
        <v>33</v>
      </c>
      <c r="G51">
        <v>0</v>
      </c>
      <c r="H51" t="s">
        <v>19</v>
      </c>
      <c r="I51" s="1">
        <v>45627</v>
      </c>
      <c r="J51" s="1"/>
      <c r="K51" t="s">
        <v>27</v>
      </c>
      <c r="L51" s="2">
        <v>45921.476030092592</v>
      </c>
      <c r="M51" t="s">
        <v>21</v>
      </c>
    </row>
    <row r="52" spans="1:13" x14ac:dyDescent="0.45">
      <c r="A52" t="s">
        <v>485</v>
      </c>
      <c r="B52" t="s">
        <v>486</v>
      </c>
      <c r="C52" t="s">
        <v>483</v>
      </c>
      <c r="D52" t="s">
        <v>487</v>
      </c>
      <c r="E52" t="s">
        <v>17</v>
      </c>
      <c r="F52" t="s">
        <v>18</v>
      </c>
      <c r="G52">
        <v>9.99</v>
      </c>
      <c r="H52" t="s">
        <v>40</v>
      </c>
      <c r="I52" s="1">
        <v>45345</v>
      </c>
      <c r="J52" s="1">
        <v>45339</v>
      </c>
      <c r="K52" t="s">
        <v>75</v>
      </c>
      <c r="L52" s="2">
        <v>46060.232800925929</v>
      </c>
      <c r="M52" t="s">
        <v>341</v>
      </c>
    </row>
    <row r="53" spans="1:13" x14ac:dyDescent="0.45">
      <c r="A53" t="s">
        <v>136</v>
      </c>
      <c r="B53" t="s">
        <v>137</v>
      </c>
      <c r="C53" t="s">
        <v>114</v>
      </c>
      <c r="D53" t="s">
        <v>138</v>
      </c>
      <c r="E53" t="s">
        <v>17</v>
      </c>
      <c r="F53" t="s">
        <v>33</v>
      </c>
      <c r="G53">
        <v>0</v>
      </c>
      <c r="H53" t="s">
        <v>19</v>
      </c>
      <c r="I53" s="1">
        <v>45977</v>
      </c>
      <c r="J53" s="1"/>
      <c r="K53" t="s">
        <v>49</v>
      </c>
      <c r="L53" s="2">
        <v>46248.645243055558</v>
      </c>
      <c r="M53" t="s">
        <v>21</v>
      </c>
    </row>
    <row r="54" spans="1:13" x14ac:dyDescent="0.45">
      <c r="A54" t="s">
        <v>139</v>
      </c>
      <c r="B54" t="s">
        <v>140</v>
      </c>
      <c r="C54" t="s">
        <v>141</v>
      </c>
      <c r="D54" t="s">
        <v>142</v>
      </c>
      <c r="E54" t="s">
        <v>32</v>
      </c>
      <c r="F54" t="s">
        <v>26</v>
      </c>
      <c r="G54">
        <v>19.989999999999998</v>
      </c>
      <c r="H54" t="s">
        <v>40</v>
      </c>
      <c r="I54" s="1">
        <v>46088</v>
      </c>
      <c r="J54" s="1"/>
      <c r="K54" t="s">
        <v>27</v>
      </c>
      <c r="L54" s="2">
        <v>46291.185995370368</v>
      </c>
      <c r="M54" t="s">
        <v>21</v>
      </c>
    </row>
    <row r="55" spans="1:13" x14ac:dyDescent="0.45">
      <c r="A55" t="s">
        <v>143</v>
      </c>
      <c r="B55" t="s">
        <v>144</v>
      </c>
      <c r="C55" t="s">
        <v>130</v>
      </c>
      <c r="D55" t="s">
        <v>145</v>
      </c>
      <c r="E55" t="s">
        <v>66</v>
      </c>
      <c r="F55" t="s">
        <v>33</v>
      </c>
      <c r="G55">
        <v>0</v>
      </c>
      <c r="H55" t="s">
        <v>19</v>
      </c>
      <c r="I55" s="1">
        <v>46142</v>
      </c>
      <c r="J55" s="1"/>
      <c r="K55" t="s">
        <v>75</v>
      </c>
      <c r="L55" s="2">
        <v>46200.561539351853</v>
      </c>
      <c r="M55" t="s">
        <v>21</v>
      </c>
    </row>
    <row r="56" spans="1:13" x14ac:dyDescent="0.45">
      <c r="A56" t="s">
        <v>146</v>
      </c>
      <c r="B56" t="s">
        <v>147</v>
      </c>
      <c r="C56" t="s">
        <v>148</v>
      </c>
      <c r="D56" t="s">
        <v>149</v>
      </c>
      <c r="E56" t="s">
        <v>17</v>
      </c>
      <c r="F56" t="s">
        <v>18</v>
      </c>
      <c r="G56">
        <v>9.99</v>
      </c>
      <c r="H56" t="s">
        <v>19</v>
      </c>
      <c r="I56" s="1">
        <v>45671</v>
      </c>
      <c r="J56" s="1"/>
      <c r="K56" t="s">
        <v>27</v>
      </c>
      <c r="L56" s="2">
        <v>45997.269259259258</v>
      </c>
      <c r="M56" t="s">
        <v>21</v>
      </c>
    </row>
    <row r="57" spans="1:13" x14ac:dyDescent="0.45">
      <c r="A57" t="s">
        <v>150</v>
      </c>
      <c r="B57" t="s">
        <v>151</v>
      </c>
      <c r="C57" t="s">
        <v>152</v>
      </c>
      <c r="D57" t="s">
        <v>153</v>
      </c>
      <c r="E57" t="s">
        <v>17</v>
      </c>
      <c r="F57" t="s">
        <v>26</v>
      </c>
      <c r="G57">
        <v>19.989999999999998</v>
      </c>
      <c r="H57" t="s">
        <v>19</v>
      </c>
      <c r="I57" s="1">
        <v>45448</v>
      </c>
      <c r="J57" s="1"/>
      <c r="K57" t="s">
        <v>27</v>
      </c>
      <c r="L57" s="2">
        <v>45867.558391203704</v>
      </c>
      <c r="M57" t="s">
        <v>21</v>
      </c>
    </row>
    <row r="58" spans="1:13" x14ac:dyDescent="0.45">
      <c r="A58" t="s">
        <v>488</v>
      </c>
      <c r="B58" t="s">
        <v>489</v>
      </c>
      <c r="C58" t="s">
        <v>490</v>
      </c>
      <c r="D58" t="s">
        <v>491</v>
      </c>
      <c r="E58" t="s">
        <v>32</v>
      </c>
      <c r="F58" t="s">
        <v>18</v>
      </c>
      <c r="G58">
        <v>9.99</v>
      </c>
      <c r="H58" t="s">
        <v>40</v>
      </c>
      <c r="I58" s="1">
        <v>45566</v>
      </c>
      <c r="J58" s="1">
        <v>45554</v>
      </c>
      <c r="K58" t="s">
        <v>20</v>
      </c>
      <c r="L58" s="2">
        <v>45977.649965277778</v>
      </c>
      <c r="M58" t="s">
        <v>21</v>
      </c>
    </row>
    <row r="59" spans="1:13" x14ac:dyDescent="0.45">
      <c r="A59" t="s">
        <v>154</v>
      </c>
      <c r="B59" t="s">
        <v>155</v>
      </c>
      <c r="C59" t="s">
        <v>156</v>
      </c>
      <c r="D59" t="s">
        <v>157</v>
      </c>
      <c r="E59" t="s">
        <v>32</v>
      </c>
      <c r="F59" t="s">
        <v>26</v>
      </c>
      <c r="G59">
        <v>19.989999999999998</v>
      </c>
      <c r="H59" t="s">
        <v>19</v>
      </c>
      <c r="I59" s="1">
        <v>45798</v>
      </c>
      <c r="J59" s="1"/>
      <c r="K59" t="s">
        <v>27</v>
      </c>
      <c r="L59" s="2">
        <v>46073.600694444445</v>
      </c>
      <c r="M59" t="s">
        <v>21</v>
      </c>
    </row>
    <row r="60" spans="1:13" x14ac:dyDescent="0.45">
      <c r="A60" t="s">
        <v>492</v>
      </c>
      <c r="B60" t="s">
        <v>493</v>
      </c>
      <c r="C60" t="s">
        <v>494</v>
      </c>
      <c r="D60" t="s">
        <v>495</v>
      </c>
      <c r="E60" t="s">
        <v>32</v>
      </c>
      <c r="F60" t="s">
        <v>26</v>
      </c>
      <c r="G60">
        <v>19.989999999999998</v>
      </c>
      <c r="H60" t="s">
        <v>19</v>
      </c>
      <c r="I60" s="1">
        <v>45821</v>
      </c>
      <c r="J60" s="1">
        <v>45971</v>
      </c>
      <c r="K60" t="s">
        <v>27</v>
      </c>
      <c r="L60" s="2">
        <v>46136.68204861111</v>
      </c>
      <c r="M60" t="s">
        <v>21</v>
      </c>
    </row>
    <row r="61" spans="1:13" x14ac:dyDescent="0.45">
      <c r="A61" t="s">
        <v>332</v>
      </c>
      <c r="B61" t="s">
        <v>333</v>
      </c>
      <c r="C61" t="s">
        <v>334</v>
      </c>
      <c r="D61" t="s">
        <v>335</v>
      </c>
      <c r="E61" t="s">
        <v>17</v>
      </c>
      <c r="F61" t="s">
        <v>18</v>
      </c>
      <c r="G61">
        <v>0</v>
      </c>
      <c r="H61" t="s">
        <v>19</v>
      </c>
      <c r="I61" s="1">
        <v>46103</v>
      </c>
      <c r="J61" s="1"/>
      <c r="K61" t="s">
        <v>27</v>
      </c>
      <c r="L61" s="2">
        <v>46237.331736111111</v>
      </c>
      <c r="M61" t="s">
        <v>336</v>
      </c>
    </row>
    <row r="62" spans="1:13" x14ac:dyDescent="0.45">
      <c r="A62" t="s">
        <v>496</v>
      </c>
      <c r="B62" t="s">
        <v>497</v>
      </c>
      <c r="C62" t="s">
        <v>498</v>
      </c>
      <c r="D62" t="s">
        <v>499</v>
      </c>
      <c r="E62" t="s">
        <v>17</v>
      </c>
      <c r="F62" t="s">
        <v>18</v>
      </c>
      <c r="G62">
        <v>9.99</v>
      </c>
      <c r="H62" t="s">
        <v>40</v>
      </c>
      <c r="I62" s="1">
        <v>46072</v>
      </c>
      <c r="J62" s="1">
        <v>46290</v>
      </c>
      <c r="K62" t="s">
        <v>75</v>
      </c>
      <c r="L62" s="2">
        <v>46290.838912037034</v>
      </c>
      <c r="M62" t="s">
        <v>21</v>
      </c>
    </row>
    <row r="63" spans="1:13" x14ac:dyDescent="0.45">
      <c r="A63" t="s">
        <v>337</v>
      </c>
      <c r="B63" t="s">
        <v>338</v>
      </c>
      <c r="C63" t="s">
        <v>339</v>
      </c>
      <c r="D63" t="s">
        <v>340</v>
      </c>
      <c r="E63" t="s">
        <v>17</v>
      </c>
      <c r="F63" t="s">
        <v>26</v>
      </c>
      <c r="G63">
        <v>19.989999999999998</v>
      </c>
      <c r="H63" t="s">
        <v>40</v>
      </c>
      <c r="I63" s="1">
        <v>45595</v>
      </c>
      <c r="J63" s="1"/>
      <c r="K63" t="s">
        <v>27</v>
      </c>
      <c r="L63" s="2">
        <v>46155.874988425923</v>
      </c>
      <c r="M63" t="s">
        <v>341</v>
      </c>
    </row>
    <row r="64" spans="1:13" x14ac:dyDescent="0.45">
      <c r="A64" t="s">
        <v>500</v>
      </c>
      <c r="B64" t="s">
        <v>501</v>
      </c>
      <c r="C64" t="s">
        <v>502</v>
      </c>
      <c r="D64" t="s">
        <v>503</v>
      </c>
      <c r="E64" t="s">
        <v>17</v>
      </c>
      <c r="F64" t="s">
        <v>26</v>
      </c>
      <c r="G64">
        <v>19.989999999999998</v>
      </c>
      <c r="H64" t="s">
        <v>40</v>
      </c>
      <c r="I64" s="1">
        <v>46062</v>
      </c>
      <c r="J64" s="1">
        <v>46290</v>
      </c>
      <c r="K64" t="s">
        <v>27</v>
      </c>
      <c r="L64" s="2">
        <v>46291.424178240741</v>
      </c>
      <c r="M64" t="s">
        <v>21</v>
      </c>
    </row>
    <row r="65" spans="1:13" x14ac:dyDescent="0.45">
      <c r="A65" t="s">
        <v>158</v>
      </c>
      <c r="B65" t="s">
        <v>159</v>
      </c>
      <c r="C65" t="s">
        <v>160</v>
      </c>
      <c r="D65" t="s">
        <v>161</v>
      </c>
      <c r="E65" t="s">
        <v>17</v>
      </c>
      <c r="F65" t="s">
        <v>26</v>
      </c>
      <c r="G65">
        <v>19.989999999999998</v>
      </c>
      <c r="H65" t="s">
        <v>19</v>
      </c>
      <c r="I65" s="1"/>
      <c r="J65" s="1"/>
      <c r="K65" t="s">
        <v>27</v>
      </c>
      <c r="L65" s="2">
        <v>46255.226226851853</v>
      </c>
      <c r="M65" t="s">
        <v>21</v>
      </c>
    </row>
    <row r="66" spans="1:13" x14ac:dyDescent="0.45">
      <c r="A66" t="s">
        <v>162</v>
      </c>
      <c r="B66" t="s">
        <v>163</v>
      </c>
      <c r="C66" t="s">
        <v>164</v>
      </c>
      <c r="D66" t="s">
        <v>165</v>
      </c>
      <c r="E66" t="s">
        <v>39</v>
      </c>
      <c r="F66" t="s">
        <v>33</v>
      </c>
      <c r="G66">
        <v>0</v>
      </c>
      <c r="H66" t="s">
        <v>19</v>
      </c>
      <c r="I66" s="1">
        <v>45863</v>
      </c>
      <c r="J66" s="1"/>
      <c r="K66" t="s">
        <v>27</v>
      </c>
      <c r="L66" s="2">
        <v>46038.296377314815</v>
      </c>
      <c r="M66" t="s">
        <v>21</v>
      </c>
    </row>
    <row r="67" spans="1:13" x14ac:dyDescent="0.45">
      <c r="A67" t="s">
        <v>342</v>
      </c>
      <c r="B67" t="s">
        <v>343</v>
      </c>
      <c r="C67" t="s">
        <v>344</v>
      </c>
      <c r="D67" t="s">
        <v>345</v>
      </c>
      <c r="E67" t="s">
        <v>66</v>
      </c>
      <c r="F67" t="s">
        <v>26</v>
      </c>
      <c r="G67">
        <v>19.989999999999998</v>
      </c>
      <c r="H67" t="s">
        <v>34</v>
      </c>
      <c r="I67" s="1">
        <v>45604</v>
      </c>
      <c r="J67" s="1"/>
      <c r="K67" t="s">
        <v>75</v>
      </c>
      <c r="L67" s="2">
        <v>46178.844351851854</v>
      </c>
      <c r="M67" t="s">
        <v>320</v>
      </c>
    </row>
    <row r="68" spans="1:13" x14ac:dyDescent="0.45">
      <c r="A68" t="s">
        <v>504</v>
      </c>
      <c r="B68" t="s">
        <v>505</v>
      </c>
      <c r="C68" t="s">
        <v>506</v>
      </c>
      <c r="D68" t="s">
        <v>507</v>
      </c>
      <c r="E68" t="s">
        <v>17</v>
      </c>
      <c r="F68" t="s">
        <v>26</v>
      </c>
      <c r="G68">
        <v>19.989999999999998</v>
      </c>
      <c r="H68" t="s">
        <v>19</v>
      </c>
      <c r="I68" s="1">
        <v>45995</v>
      </c>
      <c r="J68" s="1">
        <v>46081</v>
      </c>
      <c r="K68" t="s">
        <v>75</v>
      </c>
      <c r="L68" s="2">
        <v>46237.748449074075</v>
      </c>
      <c r="M68" t="s">
        <v>21</v>
      </c>
    </row>
    <row r="69" spans="1:13" x14ac:dyDescent="0.45">
      <c r="A69" t="s">
        <v>508</v>
      </c>
      <c r="B69" t="s">
        <v>509</v>
      </c>
      <c r="C69" t="s">
        <v>510</v>
      </c>
      <c r="D69" t="s">
        <v>511</v>
      </c>
      <c r="E69" t="s">
        <v>39</v>
      </c>
      <c r="F69" t="s">
        <v>18</v>
      </c>
      <c r="G69">
        <v>9.99</v>
      </c>
      <c r="H69" t="s">
        <v>40</v>
      </c>
      <c r="I69" s="1">
        <v>46222</v>
      </c>
      <c r="J69" s="1">
        <v>46290</v>
      </c>
      <c r="K69" t="s">
        <v>27</v>
      </c>
      <c r="L69" s="2">
        <v>46292.40488425926</v>
      </c>
      <c r="M69" t="s">
        <v>21</v>
      </c>
    </row>
    <row r="70" spans="1:13" x14ac:dyDescent="0.45">
      <c r="A70" t="s">
        <v>512</v>
      </c>
      <c r="B70" t="s">
        <v>513</v>
      </c>
      <c r="C70" t="s">
        <v>514</v>
      </c>
      <c r="D70" t="s">
        <v>515</v>
      </c>
      <c r="E70" t="s">
        <v>32</v>
      </c>
      <c r="F70" t="s">
        <v>33</v>
      </c>
      <c r="G70">
        <v>0</v>
      </c>
      <c r="H70" t="s">
        <v>40</v>
      </c>
      <c r="I70" s="1">
        <v>46008</v>
      </c>
      <c r="J70" s="1">
        <v>46244</v>
      </c>
      <c r="K70" t="s">
        <v>27</v>
      </c>
      <c r="L70" s="2">
        <v>46286.502164351848</v>
      </c>
      <c r="M70" t="s">
        <v>341</v>
      </c>
    </row>
    <row r="71" spans="1:13" x14ac:dyDescent="0.45">
      <c r="A71" t="s">
        <v>166</v>
      </c>
      <c r="B71" t="s">
        <v>167</v>
      </c>
      <c r="C71" t="s">
        <v>168</v>
      </c>
      <c r="D71" t="s">
        <v>169</v>
      </c>
      <c r="E71" t="s">
        <v>32</v>
      </c>
      <c r="F71" t="s">
        <v>18</v>
      </c>
      <c r="G71">
        <v>9.99</v>
      </c>
      <c r="H71" t="s">
        <v>19</v>
      </c>
      <c r="I71" s="1">
        <v>45526</v>
      </c>
      <c r="J71" s="1"/>
      <c r="K71" t="s">
        <v>20</v>
      </c>
      <c r="L71" s="2">
        <v>45982.031851851854</v>
      </c>
      <c r="M71" t="s">
        <v>21</v>
      </c>
    </row>
    <row r="72" spans="1:13" x14ac:dyDescent="0.45">
      <c r="A72" t="s">
        <v>170</v>
      </c>
      <c r="B72" t="s">
        <v>171</v>
      </c>
      <c r="C72" t="s">
        <v>172</v>
      </c>
      <c r="D72" t="s">
        <v>173</v>
      </c>
      <c r="E72" t="s">
        <v>17</v>
      </c>
      <c r="F72" t="s">
        <v>18</v>
      </c>
      <c r="G72">
        <v>9.99</v>
      </c>
      <c r="H72" t="s">
        <v>19</v>
      </c>
      <c r="I72" s="1">
        <v>45978</v>
      </c>
      <c r="J72" s="1"/>
      <c r="K72" t="s">
        <v>27</v>
      </c>
      <c r="L72" s="2">
        <v>46247.396134259259</v>
      </c>
      <c r="M72" t="s">
        <v>21</v>
      </c>
    </row>
    <row r="73" spans="1:13" x14ac:dyDescent="0.45">
      <c r="A73" t="s">
        <v>174</v>
      </c>
      <c r="B73" t="s">
        <v>175</v>
      </c>
      <c r="C73" t="s">
        <v>130</v>
      </c>
      <c r="D73" t="s">
        <v>176</v>
      </c>
      <c r="E73" t="s">
        <v>17</v>
      </c>
      <c r="F73" t="s">
        <v>33</v>
      </c>
      <c r="G73">
        <v>0</v>
      </c>
      <c r="H73" t="s">
        <v>19</v>
      </c>
      <c r="I73" s="1">
        <v>45550</v>
      </c>
      <c r="J73" s="1"/>
      <c r="K73" t="s">
        <v>75</v>
      </c>
      <c r="L73" s="2">
        <v>46221.795902777776</v>
      </c>
      <c r="M73" t="s">
        <v>21</v>
      </c>
    </row>
    <row r="74" spans="1:13" x14ac:dyDescent="0.45">
      <c r="A74" t="s">
        <v>346</v>
      </c>
      <c r="B74" t="s">
        <v>347</v>
      </c>
      <c r="C74" t="s">
        <v>348</v>
      </c>
      <c r="D74" t="s">
        <v>349</v>
      </c>
      <c r="E74" t="s">
        <v>39</v>
      </c>
      <c r="F74" t="s">
        <v>33</v>
      </c>
      <c r="G74">
        <v>0</v>
      </c>
      <c r="H74" t="s">
        <v>19</v>
      </c>
      <c r="I74" s="1">
        <v>45929</v>
      </c>
      <c r="J74" s="1"/>
      <c r="K74" t="s">
        <v>27</v>
      </c>
      <c r="L74" s="2">
        <v>45949.044016203705</v>
      </c>
      <c r="M74" t="s">
        <v>319</v>
      </c>
    </row>
    <row r="75" spans="1:13" x14ac:dyDescent="0.45">
      <c r="A75" t="s">
        <v>177</v>
      </c>
      <c r="B75" t="s">
        <v>178</v>
      </c>
      <c r="C75" t="s">
        <v>179</v>
      </c>
      <c r="D75" t="s">
        <v>180</v>
      </c>
      <c r="E75" t="s">
        <v>66</v>
      </c>
      <c r="F75" t="s">
        <v>18</v>
      </c>
      <c r="G75">
        <v>9.99</v>
      </c>
      <c r="H75" t="s">
        <v>19</v>
      </c>
      <c r="I75" s="1">
        <v>45937</v>
      </c>
      <c r="J75" s="1"/>
      <c r="K75" t="s">
        <v>75</v>
      </c>
      <c r="L75" s="2">
        <v>46057.683379629627</v>
      </c>
      <c r="M75" t="s">
        <v>21</v>
      </c>
    </row>
    <row r="76" spans="1:13" x14ac:dyDescent="0.45">
      <c r="A76" t="s">
        <v>181</v>
      </c>
      <c r="B76" t="s">
        <v>182</v>
      </c>
      <c r="C76" t="s">
        <v>183</v>
      </c>
      <c r="D76" t="s">
        <v>184</v>
      </c>
      <c r="E76" t="s">
        <v>17</v>
      </c>
      <c r="F76" t="s">
        <v>18</v>
      </c>
      <c r="G76">
        <v>9.99</v>
      </c>
      <c r="H76" t="s">
        <v>19</v>
      </c>
      <c r="I76" s="1">
        <v>45775</v>
      </c>
      <c r="J76" s="1"/>
      <c r="K76" t="s">
        <v>49</v>
      </c>
      <c r="L76" s="2">
        <v>45923.051446759258</v>
      </c>
      <c r="M76" t="s">
        <v>21</v>
      </c>
    </row>
    <row r="77" spans="1:13" x14ac:dyDescent="0.45">
      <c r="A77" t="s">
        <v>516</v>
      </c>
      <c r="B77" t="s">
        <v>517</v>
      </c>
      <c r="C77" t="s">
        <v>518</v>
      </c>
      <c r="D77" t="s">
        <v>519</v>
      </c>
      <c r="E77" t="s">
        <v>17</v>
      </c>
      <c r="F77" t="s">
        <v>26</v>
      </c>
      <c r="G77">
        <v>19.989999999999998</v>
      </c>
      <c r="H77" t="s">
        <v>40</v>
      </c>
      <c r="I77" s="1">
        <v>45640</v>
      </c>
      <c r="J77" s="1">
        <v>45929</v>
      </c>
      <c r="K77" t="s">
        <v>27</v>
      </c>
      <c r="L77" s="2">
        <v>46044.947581018518</v>
      </c>
      <c r="M77" t="s">
        <v>21</v>
      </c>
    </row>
    <row r="78" spans="1:13" x14ac:dyDescent="0.45">
      <c r="A78" t="s">
        <v>185</v>
      </c>
      <c r="B78" t="s">
        <v>186</v>
      </c>
      <c r="C78" t="s">
        <v>187</v>
      </c>
      <c r="D78" t="s">
        <v>188</v>
      </c>
      <c r="E78" t="s">
        <v>39</v>
      </c>
      <c r="F78" t="s">
        <v>18</v>
      </c>
      <c r="G78">
        <v>9.99</v>
      </c>
      <c r="H78" t="s">
        <v>19</v>
      </c>
      <c r="I78" s="1">
        <v>45857</v>
      </c>
      <c r="J78" s="1"/>
      <c r="K78" t="s">
        <v>27</v>
      </c>
      <c r="L78" s="2">
        <v>46106.931851851848</v>
      </c>
      <c r="M78" t="s">
        <v>21</v>
      </c>
    </row>
    <row r="79" spans="1:13" x14ac:dyDescent="0.45">
      <c r="A79" t="s">
        <v>520</v>
      </c>
      <c r="B79" t="s">
        <v>521</v>
      </c>
      <c r="C79" t="s">
        <v>522</v>
      </c>
      <c r="D79" t="s">
        <v>523</v>
      </c>
      <c r="E79" t="s">
        <v>39</v>
      </c>
      <c r="F79" t="s">
        <v>33</v>
      </c>
      <c r="G79">
        <v>0</v>
      </c>
      <c r="H79" t="s">
        <v>40</v>
      </c>
      <c r="I79" s="1">
        <v>45336</v>
      </c>
      <c r="J79" s="1">
        <v>45528</v>
      </c>
      <c r="K79" t="s">
        <v>20</v>
      </c>
      <c r="L79" s="2">
        <v>45824.110983796294</v>
      </c>
      <c r="M79" t="s">
        <v>21</v>
      </c>
    </row>
    <row r="80" spans="1:13" x14ac:dyDescent="0.45">
      <c r="A80" t="s">
        <v>189</v>
      </c>
      <c r="B80" t="s">
        <v>190</v>
      </c>
      <c r="C80" t="s">
        <v>191</v>
      </c>
      <c r="D80" t="s">
        <v>192</v>
      </c>
      <c r="E80" t="s">
        <v>32</v>
      </c>
      <c r="F80" t="s">
        <v>33</v>
      </c>
      <c r="G80">
        <v>0</v>
      </c>
      <c r="H80" t="s">
        <v>34</v>
      </c>
      <c r="I80" s="1">
        <v>45631</v>
      </c>
      <c r="J80" s="1"/>
      <c r="K80" t="s">
        <v>75</v>
      </c>
      <c r="L80" s="2">
        <v>45708.44835648148</v>
      </c>
      <c r="M80" t="s">
        <v>21</v>
      </c>
    </row>
    <row r="81" spans="1:13" x14ac:dyDescent="0.45">
      <c r="A81" t="s">
        <v>524</v>
      </c>
      <c r="B81" t="s">
        <v>525</v>
      </c>
      <c r="C81" t="s">
        <v>526</v>
      </c>
      <c r="D81" t="s">
        <v>527</v>
      </c>
      <c r="E81" t="s">
        <v>66</v>
      </c>
      <c r="F81" t="s">
        <v>18</v>
      </c>
      <c r="G81">
        <v>9.99</v>
      </c>
      <c r="H81" t="s">
        <v>40</v>
      </c>
      <c r="I81" s="1">
        <v>45450</v>
      </c>
      <c r="J81" s="1">
        <v>45518</v>
      </c>
      <c r="K81" t="s">
        <v>27</v>
      </c>
      <c r="L81" s="2">
        <v>46002.09988425926</v>
      </c>
      <c r="M81" t="s">
        <v>21</v>
      </c>
    </row>
    <row r="82" spans="1:13" x14ac:dyDescent="0.45">
      <c r="A82" t="s">
        <v>350</v>
      </c>
      <c r="B82" t="s">
        <v>351</v>
      </c>
      <c r="C82" t="s">
        <v>352</v>
      </c>
      <c r="D82" t="s">
        <v>353</v>
      </c>
      <c r="E82" t="s">
        <v>66</v>
      </c>
      <c r="F82" t="s">
        <v>26</v>
      </c>
      <c r="G82">
        <v>19.989999999999998</v>
      </c>
      <c r="H82" t="s">
        <v>19</v>
      </c>
      <c r="I82" s="1">
        <v>45616</v>
      </c>
      <c r="J82" s="1"/>
      <c r="K82" t="s">
        <v>75</v>
      </c>
      <c r="L82" s="2">
        <v>46036.219560185185</v>
      </c>
      <c r="M82" t="s">
        <v>341</v>
      </c>
    </row>
    <row r="83" spans="1:13" x14ac:dyDescent="0.45">
      <c r="A83" t="s">
        <v>197</v>
      </c>
      <c r="B83" t="s">
        <v>198</v>
      </c>
      <c r="C83" t="s">
        <v>199</v>
      </c>
      <c r="D83" t="s">
        <v>200</v>
      </c>
      <c r="E83" t="s">
        <v>17</v>
      </c>
      <c r="F83" t="s">
        <v>18</v>
      </c>
      <c r="G83">
        <v>9.99</v>
      </c>
      <c r="H83" t="s">
        <v>19</v>
      </c>
      <c r="I83" s="1">
        <v>45991</v>
      </c>
      <c r="J83" s="1"/>
      <c r="K83" t="s">
        <v>27</v>
      </c>
      <c r="L83" s="2">
        <v>46081.173043981478</v>
      </c>
      <c r="M83" t="s">
        <v>21</v>
      </c>
    </row>
    <row r="84" spans="1:13" x14ac:dyDescent="0.45">
      <c r="A84" t="s">
        <v>201</v>
      </c>
      <c r="B84" t="s">
        <v>202</v>
      </c>
      <c r="C84" t="s">
        <v>203</v>
      </c>
      <c r="D84" t="s">
        <v>204</v>
      </c>
      <c r="E84" t="s">
        <v>39</v>
      </c>
      <c r="F84" t="s">
        <v>33</v>
      </c>
      <c r="G84">
        <v>0</v>
      </c>
      <c r="H84" t="s">
        <v>40</v>
      </c>
      <c r="I84" s="1">
        <v>46214</v>
      </c>
      <c r="J84" s="1"/>
      <c r="K84" t="s">
        <v>27</v>
      </c>
      <c r="L84" s="2">
        <v>46292.867905092593</v>
      </c>
      <c r="M84" t="s">
        <v>21</v>
      </c>
    </row>
    <row r="85" spans="1:13" x14ac:dyDescent="0.45">
      <c r="A85" t="s">
        <v>354</v>
      </c>
      <c r="B85" t="s">
        <v>355</v>
      </c>
      <c r="C85" t="s">
        <v>356</v>
      </c>
      <c r="D85" t="s">
        <v>357</v>
      </c>
      <c r="E85" t="s">
        <v>17</v>
      </c>
      <c r="F85" t="s">
        <v>26</v>
      </c>
      <c r="G85">
        <v>19.989999999999998</v>
      </c>
      <c r="H85" t="s">
        <v>19</v>
      </c>
      <c r="I85" s="1"/>
      <c r="J85" s="1"/>
      <c r="K85" t="s">
        <v>20</v>
      </c>
      <c r="L85" s="2">
        <v>45683.84003472222</v>
      </c>
      <c r="M85" t="s">
        <v>319</v>
      </c>
    </row>
    <row r="86" spans="1:13" x14ac:dyDescent="0.45">
      <c r="A86" t="s">
        <v>205</v>
      </c>
      <c r="B86" t="s">
        <v>206</v>
      </c>
      <c r="C86" t="s">
        <v>207</v>
      </c>
      <c r="D86" t="s">
        <v>208</v>
      </c>
      <c r="E86" t="s">
        <v>17</v>
      </c>
      <c r="F86" t="s">
        <v>18</v>
      </c>
      <c r="G86">
        <v>9.99</v>
      </c>
      <c r="H86" t="s">
        <v>34</v>
      </c>
      <c r="I86" s="1">
        <v>45966</v>
      </c>
      <c r="J86" s="1"/>
      <c r="K86" t="s">
        <v>27</v>
      </c>
      <c r="L86" s="2">
        <v>46232.338101851848</v>
      </c>
      <c r="M86" t="s">
        <v>21</v>
      </c>
    </row>
    <row r="87" spans="1:13" x14ac:dyDescent="0.45">
      <c r="A87" t="s">
        <v>209</v>
      </c>
      <c r="B87" t="s">
        <v>210</v>
      </c>
      <c r="C87" t="s">
        <v>211</v>
      </c>
      <c r="D87" t="s">
        <v>212</v>
      </c>
      <c r="E87" t="s">
        <v>39</v>
      </c>
      <c r="F87" t="s">
        <v>26</v>
      </c>
      <c r="G87">
        <v>19.989999999999998</v>
      </c>
      <c r="H87" t="s">
        <v>34</v>
      </c>
      <c r="I87" s="1">
        <v>46086</v>
      </c>
      <c r="J87" s="1"/>
      <c r="K87" t="s">
        <v>75</v>
      </c>
      <c r="L87" s="2">
        <v>46171.052916666667</v>
      </c>
      <c r="M87" t="s">
        <v>21</v>
      </c>
    </row>
    <row r="88" spans="1:13" x14ac:dyDescent="0.45">
      <c r="A88" t="s">
        <v>528</v>
      </c>
      <c r="B88" t="s">
        <v>529</v>
      </c>
      <c r="C88" t="s">
        <v>530</v>
      </c>
      <c r="D88" t="s">
        <v>531</v>
      </c>
      <c r="E88" t="s">
        <v>17</v>
      </c>
      <c r="F88" t="s">
        <v>26</v>
      </c>
      <c r="G88">
        <v>19.989999999999998</v>
      </c>
      <c r="H88" t="s">
        <v>40</v>
      </c>
      <c r="I88" s="1">
        <v>45432</v>
      </c>
      <c r="J88" s="1">
        <v>45783</v>
      </c>
      <c r="K88" t="s">
        <v>75</v>
      </c>
      <c r="L88" s="2">
        <v>46022.955254629633</v>
      </c>
      <c r="M88" t="s">
        <v>21</v>
      </c>
    </row>
    <row r="89" spans="1:13" x14ac:dyDescent="0.45">
      <c r="A89" t="s">
        <v>213</v>
      </c>
      <c r="B89" t="s">
        <v>214</v>
      </c>
      <c r="C89" t="s">
        <v>215</v>
      </c>
      <c r="D89" t="s">
        <v>216</v>
      </c>
      <c r="E89" t="s">
        <v>39</v>
      </c>
      <c r="F89" t="s">
        <v>33</v>
      </c>
      <c r="G89">
        <v>0</v>
      </c>
      <c r="H89" t="s">
        <v>34</v>
      </c>
      <c r="I89" s="1">
        <v>45626</v>
      </c>
      <c r="J89" s="1"/>
      <c r="K89" t="s">
        <v>27</v>
      </c>
      <c r="L89" s="2">
        <v>46236.902557870373</v>
      </c>
      <c r="M89" t="s">
        <v>21</v>
      </c>
    </row>
    <row r="90" spans="1:13" x14ac:dyDescent="0.45">
      <c r="A90" t="s">
        <v>217</v>
      </c>
      <c r="B90" t="s">
        <v>218</v>
      </c>
      <c r="C90" t="s">
        <v>219</v>
      </c>
      <c r="D90" t="s">
        <v>220</v>
      </c>
      <c r="E90" t="s">
        <v>32</v>
      </c>
      <c r="F90" t="s">
        <v>26</v>
      </c>
      <c r="G90">
        <v>19.989999999999998</v>
      </c>
      <c r="H90" t="s">
        <v>19</v>
      </c>
      <c r="I90" s="1">
        <v>46136</v>
      </c>
      <c r="J90" s="1"/>
      <c r="K90" t="s">
        <v>49</v>
      </c>
      <c r="L90" s="2">
        <v>46280.967442129629</v>
      </c>
      <c r="M90" t="s">
        <v>21</v>
      </c>
    </row>
    <row r="91" spans="1:13" x14ac:dyDescent="0.45">
      <c r="A91" t="s">
        <v>358</v>
      </c>
      <c r="B91" t="s">
        <v>359</v>
      </c>
      <c r="C91" t="s">
        <v>360</v>
      </c>
      <c r="D91" t="s">
        <v>361</v>
      </c>
      <c r="E91" t="s">
        <v>39</v>
      </c>
      <c r="F91" t="s">
        <v>26</v>
      </c>
      <c r="G91">
        <v>19.989999999999998</v>
      </c>
      <c r="H91" t="s">
        <v>19</v>
      </c>
      <c r="I91" s="1">
        <v>45682</v>
      </c>
      <c r="J91" s="1"/>
      <c r="K91" t="s">
        <v>27</v>
      </c>
      <c r="L91" s="2">
        <v>46206.161041666666</v>
      </c>
      <c r="M91" t="s">
        <v>341</v>
      </c>
    </row>
    <row r="92" spans="1:13" x14ac:dyDescent="0.45">
      <c r="A92" t="s">
        <v>362</v>
      </c>
      <c r="B92" t="s">
        <v>363</v>
      </c>
      <c r="C92" t="s">
        <v>364</v>
      </c>
      <c r="D92" t="s">
        <v>365</v>
      </c>
      <c r="E92" t="s">
        <v>66</v>
      </c>
      <c r="F92" t="s">
        <v>33</v>
      </c>
      <c r="G92">
        <v>0</v>
      </c>
      <c r="H92" t="s">
        <v>19</v>
      </c>
      <c r="I92" s="1">
        <v>46135</v>
      </c>
      <c r="J92" s="1"/>
      <c r="K92" t="s">
        <v>27</v>
      </c>
      <c r="L92" s="2">
        <v>46214.283182870371</v>
      </c>
      <c r="M92" t="s">
        <v>341</v>
      </c>
    </row>
    <row r="93" spans="1:13" x14ac:dyDescent="0.45">
      <c r="A93" t="s">
        <v>532</v>
      </c>
      <c r="B93" t="s">
        <v>533</v>
      </c>
      <c r="C93" t="s">
        <v>534</v>
      </c>
      <c r="D93" t="s">
        <v>535</v>
      </c>
      <c r="E93" t="s">
        <v>66</v>
      </c>
      <c r="F93" t="s">
        <v>33</v>
      </c>
      <c r="G93">
        <v>0</v>
      </c>
      <c r="H93" t="s">
        <v>40</v>
      </c>
      <c r="I93" s="1">
        <v>45430</v>
      </c>
      <c r="J93" s="1">
        <v>45658</v>
      </c>
      <c r="K93" t="s">
        <v>20</v>
      </c>
      <c r="L93" s="2">
        <v>46198.975104166668</v>
      </c>
      <c r="M93" t="s">
        <v>21</v>
      </c>
    </row>
    <row r="94" spans="1:13" x14ac:dyDescent="0.45">
      <c r="A94" t="s">
        <v>366</v>
      </c>
      <c r="B94" t="s">
        <v>367</v>
      </c>
      <c r="C94" t="s">
        <v>368</v>
      </c>
      <c r="D94" t="s">
        <v>369</v>
      </c>
      <c r="E94" t="s">
        <v>39</v>
      </c>
      <c r="F94" t="s">
        <v>33</v>
      </c>
      <c r="G94">
        <v>0</v>
      </c>
      <c r="H94" t="s">
        <v>19</v>
      </c>
      <c r="I94" s="1">
        <v>45393</v>
      </c>
      <c r="J94" s="1"/>
      <c r="K94" t="s">
        <v>27</v>
      </c>
      <c r="L94" s="2">
        <v>45827.561180555553</v>
      </c>
      <c r="M94" t="s">
        <v>309</v>
      </c>
    </row>
    <row r="95" spans="1:13" x14ac:dyDescent="0.45">
      <c r="A95" t="s">
        <v>370</v>
      </c>
      <c r="B95" t="s">
        <v>371</v>
      </c>
      <c r="C95" t="s">
        <v>372</v>
      </c>
      <c r="D95" t="s">
        <v>373</v>
      </c>
      <c r="E95" t="s">
        <v>17</v>
      </c>
      <c r="F95" t="s">
        <v>26</v>
      </c>
      <c r="G95">
        <v>19.989999999999998</v>
      </c>
      <c r="H95" t="s">
        <v>19</v>
      </c>
      <c r="I95" s="1">
        <v>45994</v>
      </c>
      <c r="J95" s="1"/>
      <c r="K95" t="s">
        <v>20</v>
      </c>
      <c r="L95" s="2">
        <v>46133.295104166667</v>
      </c>
      <c r="M95" t="s">
        <v>309</v>
      </c>
    </row>
    <row r="96" spans="1:13" x14ac:dyDescent="0.45">
      <c r="A96" t="s">
        <v>536</v>
      </c>
      <c r="B96" t="s">
        <v>537</v>
      </c>
      <c r="C96" t="s">
        <v>538</v>
      </c>
      <c r="D96" t="s">
        <v>539</v>
      </c>
      <c r="E96" t="s">
        <v>17</v>
      </c>
      <c r="F96" t="s">
        <v>26</v>
      </c>
      <c r="G96">
        <v>19.989999999999998</v>
      </c>
      <c r="H96" t="s">
        <v>40</v>
      </c>
      <c r="I96" s="1">
        <v>45903</v>
      </c>
      <c r="J96" s="1">
        <v>45943</v>
      </c>
      <c r="K96" t="s">
        <v>49</v>
      </c>
      <c r="L96" s="2">
        <v>45991.903981481482</v>
      </c>
      <c r="M96" t="s">
        <v>21</v>
      </c>
    </row>
    <row r="97" spans="1:13" x14ac:dyDescent="0.45">
      <c r="A97" t="s">
        <v>221</v>
      </c>
      <c r="B97" t="s">
        <v>222</v>
      </c>
      <c r="C97" t="s">
        <v>223</v>
      </c>
      <c r="D97" t="s">
        <v>224</v>
      </c>
      <c r="E97" t="s">
        <v>17</v>
      </c>
      <c r="F97" t="s">
        <v>33</v>
      </c>
      <c r="G97">
        <v>0</v>
      </c>
      <c r="H97" t="s">
        <v>19</v>
      </c>
      <c r="I97" s="1"/>
      <c r="J97" s="1"/>
      <c r="K97" t="s">
        <v>27</v>
      </c>
      <c r="L97" s="2">
        <v>46182.55060185185</v>
      </c>
      <c r="M97" t="s">
        <v>21</v>
      </c>
    </row>
    <row r="98" spans="1:13" x14ac:dyDescent="0.45">
      <c r="A98" t="s">
        <v>374</v>
      </c>
      <c r="B98" t="s">
        <v>375</v>
      </c>
      <c r="C98" t="s">
        <v>94</v>
      </c>
      <c r="D98" t="s">
        <v>376</v>
      </c>
      <c r="E98" t="s">
        <v>39</v>
      </c>
      <c r="F98" t="s">
        <v>26</v>
      </c>
      <c r="G98">
        <v>19.989999999999998</v>
      </c>
      <c r="H98" t="s">
        <v>19</v>
      </c>
      <c r="I98" s="1">
        <v>45658</v>
      </c>
      <c r="J98" s="1"/>
      <c r="K98" t="s">
        <v>49</v>
      </c>
      <c r="L98" s="2">
        <v>45670.257523148146</v>
      </c>
      <c r="M98" t="s">
        <v>341</v>
      </c>
    </row>
    <row r="99" spans="1:13" x14ac:dyDescent="0.45">
      <c r="A99" t="s">
        <v>377</v>
      </c>
      <c r="B99" t="s">
        <v>378</v>
      </c>
      <c r="C99" t="s">
        <v>379</v>
      </c>
      <c r="D99" t="s">
        <v>380</v>
      </c>
      <c r="E99" t="s">
        <v>17</v>
      </c>
      <c r="F99" t="s">
        <v>26</v>
      </c>
      <c r="G99">
        <v>19.989999999999998</v>
      </c>
      <c r="H99" t="s">
        <v>19</v>
      </c>
      <c r="I99" s="1">
        <v>46088</v>
      </c>
      <c r="J99" s="1"/>
      <c r="K99" t="s">
        <v>27</v>
      </c>
      <c r="L99" s="2">
        <v>46283.671539351853</v>
      </c>
      <c r="M99" t="s">
        <v>319</v>
      </c>
    </row>
    <row r="100" spans="1:13" x14ac:dyDescent="0.45">
      <c r="A100" t="s">
        <v>225</v>
      </c>
      <c r="B100" t="s">
        <v>226</v>
      </c>
      <c r="C100" t="s">
        <v>227</v>
      </c>
      <c r="D100" t="s">
        <v>228</v>
      </c>
      <c r="E100" t="s">
        <v>39</v>
      </c>
      <c r="F100" t="s">
        <v>18</v>
      </c>
      <c r="G100">
        <v>9.99</v>
      </c>
      <c r="H100" t="s">
        <v>19</v>
      </c>
      <c r="I100" s="1">
        <v>45782</v>
      </c>
      <c r="J100" s="1"/>
      <c r="K100" t="s">
        <v>75</v>
      </c>
      <c r="L100" s="2">
        <v>46162.803067129629</v>
      </c>
      <c r="M100" t="s">
        <v>21</v>
      </c>
    </row>
    <row r="101" spans="1:13" x14ac:dyDescent="0.45">
      <c r="A101" t="s">
        <v>229</v>
      </c>
      <c r="B101" t="s">
        <v>230</v>
      </c>
      <c r="C101" t="s">
        <v>231</v>
      </c>
      <c r="D101" t="s">
        <v>232</v>
      </c>
      <c r="E101" t="s">
        <v>66</v>
      </c>
      <c r="F101" t="s">
        <v>18</v>
      </c>
      <c r="G101">
        <v>9.99</v>
      </c>
      <c r="H101" t="s">
        <v>19</v>
      </c>
      <c r="I101" s="1">
        <v>45573</v>
      </c>
      <c r="J101" s="1"/>
      <c r="K101" t="s">
        <v>27</v>
      </c>
      <c r="L101" s="2">
        <v>45825.578993055555</v>
      </c>
      <c r="M101" t="s">
        <v>21</v>
      </c>
    </row>
    <row r="102" spans="1:13" x14ac:dyDescent="0.45">
      <c r="A102" t="s">
        <v>233</v>
      </c>
      <c r="B102" t="s">
        <v>234</v>
      </c>
      <c r="C102" t="s">
        <v>235</v>
      </c>
      <c r="D102" t="s">
        <v>236</v>
      </c>
      <c r="E102" t="s">
        <v>39</v>
      </c>
      <c r="F102" t="s">
        <v>18</v>
      </c>
      <c r="G102">
        <v>9.99</v>
      </c>
      <c r="H102" t="s">
        <v>19</v>
      </c>
      <c r="I102" s="1">
        <v>46104</v>
      </c>
      <c r="J102" s="1"/>
      <c r="K102" t="s">
        <v>75</v>
      </c>
      <c r="L102" s="2">
        <v>46274.433634259258</v>
      </c>
      <c r="M102" t="s">
        <v>21</v>
      </c>
    </row>
    <row r="103" spans="1:13" x14ac:dyDescent="0.45">
      <c r="A103" t="s">
        <v>237</v>
      </c>
      <c r="B103" t="s">
        <v>238</v>
      </c>
      <c r="C103" t="s">
        <v>239</v>
      </c>
      <c r="D103" t="s">
        <v>240</v>
      </c>
      <c r="E103" t="s">
        <v>66</v>
      </c>
      <c r="F103" t="s">
        <v>26</v>
      </c>
      <c r="G103">
        <v>19.989999999999998</v>
      </c>
      <c r="H103" t="s">
        <v>19</v>
      </c>
      <c r="I103" s="1">
        <v>46139</v>
      </c>
      <c r="J103" s="1"/>
      <c r="K103" t="s">
        <v>75</v>
      </c>
      <c r="L103" s="2">
        <v>46199.690868055557</v>
      </c>
      <c r="M103" t="s">
        <v>21</v>
      </c>
    </row>
    <row r="104" spans="1:13" x14ac:dyDescent="0.45">
      <c r="A104" t="s">
        <v>241</v>
      </c>
      <c r="B104" t="s">
        <v>242</v>
      </c>
      <c r="C104" t="s">
        <v>243</v>
      </c>
      <c r="D104" t="s">
        <v>244</v>
      </c>
      <c r="E104" t="s">
        <v>39</v>
      </c>
      <c r="F104" t="s">
        <v>26</v>
      </c>
      <c r="G104">
        <v>19.989999999999998</v>
      </c>
      <c r="H104" t="s">
        <v>19</v>
      </c>
      <c r="I104" s="1">
        <v>45385</v>
      </c>
      <c r="J104" s="1"/>
      <c r="K104" t="s">
        <v>27</v>
      </c>
      <c r="L104" s="2">
        <v>45963.886736111112</v>
      </c>
      <c r="M104" t="s">
        <v>21</v>
      </c>
    </row>
    <row r="105" spans="1:13" x14ac:dyDescent="0.45">
      <c r="A105" t="s">
        <v>540</v>
      </c>
      <c r="B105" t="s">
        <v>541</v>
      </c>
      <c r="C105" t="s">
        <v>542</v>
      </c>
      <c r="D105" t="s">
        <v>543</v>
      </c>
      <c r="E105" t="s">
        <v>32</v>
      </c>
      <c r="F105" t="s">
        <v>18</v>
      </c>
      <c r="G105">
        <v>9.99</v>
      </c>
      <c r="H105" t="s">
        <v>40</v>
      </c>
      <c r="I105" s="1">
        <v>45712</v>
      </c>
      <c r="J105" s="1">
        <v>45923</v>
      </c>
      <c r="K105" t="s">
        <v>75</v>
      </c>
      <c r="L105" s="2">
        <v>46260.13354166667</v>
      </c>
      <c r="M105" t="s">
        <v>21</v>
      </c>
    </row>
    <row r="106" spans="1:13" x14ac:dyDescent="0.45">
      <c r="A106" t="s">
        <v>544</v>
      </c>
      <c r="B106" t="s">
        <v>545</v>
      </c>
      <c r="C106" t="s">
        <v>546</v>
      </c>
      <c r="D106" t="s">
        <v>547</v>
      </c>
      <c r="E106" t="s">
        <v>17</v>
      </c>
      <c r="F106" t="s">
        <v>33</v>
      </c>
      <c r="G106">
        <v>0</v>
      </c>
      <c r="H106" t="s">
        <v>40</v>
      </c>
      <c r="I106" s="1">
        <v>45521</v>
      </c>
      <c r="J106" s="1">
        <v>45606</v>
      </c>
      <c r="K106" t="s">
        <v>27</v>
      </c>
      <c r="L106" s="2">
        <v>46198.333298611113</v>
      </c>
      <c r="M106" t="s">
        <v>21</v>
      </c>
    </row>
    <row r="107" spans="1:13" x14ac:dyDescent="0.45">
      <c r="A107" t="s">
        <v>548</v>
      </c>
      <c r="B107" t="s">
        <v>549</v>
      </c>
      <c r="C107" t="s">
        <v>391</v>
      </c>
      <c r="D107" t="s">
        <v>550</v>
      </c>
      <c r="E107" t="s">
        <v>32</v>
      </c>
      <c r="F107" t="s">
        <v>18</v>
      </c>
      <c r="G107">
        <v>9.99</v>
      </c>
      <c r="H107" t="s">
        <v>40</v>
      </c>
      <c r="I107" s="1">
        <v>45318</v>
      </c>
      <c r="J107" s="1">
        <v>45659</v>
      </c>
      <c r="K107" t="s">
        <v>75</v>
      </c>
      <c r="L107" s="2">
        <v>45681.488599537035</v>
      </c>
      <c r="M107" t="s">
        <v>336</v>
      </c>
    </row>
    <row r="108" spans="1:13" x14ac:dyDescent="0.45">
      <c r="A108" t="s">
        <v>551</v>
      </c>
      <c r="B108" t="s">
        <v>552</v>
      </c>
      <c r="C108" t="s">
        <v>553</v>
      </c>
      <c r="D108" t="s">
        <v>554</v>
      </c>
      <c r="E108" t="s">
        <v>17</v>
      </c>
      <c r="F108" t="s">
        <v>33</v>
      </c>
      <c r="G108">
        <v>0</v>
      </c>
      <c r="H108" t="s">
        <v>40</v>
      </c>
      <c r="I108" s="1">
        <v>45871</v>
      </c>
      <c r="J108" s="1">
        <v>45835</v>
      </c>
      <c r="K108" t="s">
        <v>75</v>
      </c>
      <c r="L108" s="2">
        <v>46239.976504629631</v>
      </c>
      <c r="M108" t="s">
        <v>319</v>
      </c>
    </row>
    <row r="109" spans="1:13" x14ac:dyDescent="0.45">
      <c r="A109" t="s">
        <v>245</v>
      </c>
      <c r="B109" t="s">
        <v>246</v>
      </c>
      <c r="C109" t="s">
        <v>247</v>
      </c>
      <c r="D109" t="s">
        <v>248</v>
      </c>
      <c r="E109" t="s">
        <v>39</v>
      </c>
      <c r="F109" t="s">
        <v>33</v>
      </c>
      <c r="G109">
        <v>0</v>
      </c>
      <c r="H109" t="s">
        <v>19</v>
      </c>
      <c r="I109" s="1">
        <v>45453</v>
      </c>
      <c r="J109" s="1"/>
      <c r="K109" t="s">
        <v>75</v>
      </c>
      <c r="L109" s="2">
        <v>45875.697048611109</v>
      </c>
      <c r="M109" t="s">
        <v>21</v>
      </c>
    </row>
    <row r="110" spans="1:13" x14ac:dyDescent="0.45">
      <c r="A110" t="s">
        <v>249</v>
      </c>
      <c r="B110" t="s">
        <v>250</v>
      </c>
      <c r="C110" t="s">
        <v>251</v>
      </c>
      <c r="D110" t="s">
        <v>252</v>
      </c>
      <c r="E110" t="s">
        <v>17</v>
      </c>
      <c r="F110" t="s">
        <v>18</v>
      </c>
      <c r="G110">
        <v>9.99</v>
      </c>
      <c r="H110" t="s">
        <v>19</v>
      </c>
      <c r="I110" s="1">
        <v>45816</v>
      </c>
      <c r="J110" s="1"/>
      <c r="K110" t="s">
        <v>27</v>
      </c>
      <c r="L110" s="2">
        <v>46276.700983796298</v>
      </c>
      <c r="M110" t="s">
        <v>21</v>
      </c>
    </row>
    <row r="111" spans="1:13" x14ac:dyDescent="0.45">
      <c r="A111" t="s">
        <v>193</v>
      </c>
      <c r="B111" t="s">
        <v>194</v>
      </c>
      <c r="C111" t="s">
        <v>195</v>
      </c>
      <c r="D111" t="s">
        <v>196</v>
      </c>
      <c r="E111" t="s">
        <v>17</v>
      </c>
      <c r="F111" t="s">
        <v>18</v>
      </c>
      <c r="G111">
        <v>9.99</v>
      </c>
      <c r="H111" t="s">
        <v>19</v>
      </c>
      <c r="I111" s="1">
        <v>45299</v>
      </c>
      <c r="J111" s="1"/>
      <c r="K111" t="s">
        <v>27</v>
      </c>
      <c r="L111" s="2">
        <v>45512.186840277776</v>
      </c>
      <c r="M111" t="s">
        <v>21</v>
      </c>
    </row>
    <row r="112" spans="1:13" x14ac:dyDescent="0.45">
      <c r="A112" t="s">
        <v>555</v>
      </c>
      <c r="B112" t="s">
        <v>556</v>
      </c>
      <c r="C112" t="s">
        <v>557</v>
      </c>
      <c r="D112" t="s">
        <v>558</v>
      </c>
      <c r="E112" t="s">
        <v>17</v>
      </c>
      <c r="F112" t="s">
        <v>18</v>
      </c>
      <c r="G112">
        <v>9.99</v>
      </c>
      <c r="H112" t="s">
        <v>19</v>
      </c>
      <c r="I112" s="1">
        <v>45424</v>
      </c>
      <c r="J112" s="1">
        <v>45605</v>
      </c>
      <c r="K112" t="s">
        <v>27</v>
      </c>
      <c r="L112" s="2">
        <v>46291.946840277778</v>
      </c>
      <c r="M112" t="s">
        <v>21</v>
      </c>
    </row>
    <row r="113" spans="1:13" x14ac:dyDescent="0.45">
      <c r="A113" t="s">
        <v>385</v>
      </c>
      <c r="B113" t="s">
        <v>386</v>
      </c>
      <c r="C113" t="s">
        <v>387</v>
      </c>
      <c r="D113" t="s">
        <v>388</v>
      </c>
      <c r="E113" t="s">
        <v>39</v>
      </c>
      <c r="F113" t="s">
        <v>18</v>
      </c>
      <c r="G113">
        <v>9.99</v>
      </c>
      <c r="H113" t="s">
        <v>34</v>
      </c>
      <c r="I113" s="1">
        <v>45467</v>
      </c>
      <c r="J113" s="1"/>
      <c r="K113" t="s">
        <v>49</v>
      </c>
      <c r="L113" s="2">
        <v>46029.118587962963</v>
      </c>
      <c r="M113" t="s">
        <v>341</v>
      </c>
    </row>
    <row r="114" spans="1:13" x14ac:dyDescent="0.45">
      <c r="A114" t="s">
        <v>389</v>
      </c>
      <c r="B114" t="s">
        <v>390</v>
      </c>
      <c r="C114" t="s">
        <v>391</v>
      </c>
      <c r="D114" t="s">
        <v>392</v>
      </c>
      <c r="E114" t="s">
        <v>39</v>
      </c>
      <c r="F114" t="s">
        <v>18</v>
      </c>
      <c r="G114">
        <v>9.99</v>
      </c>
      <c r="H114" t="s">
        <v>19</v>
      </c>
      <c r="I114" s="1">
        <v>45609</v>
      </c>
      <c r="J114" s="1"/>
      <c r="K114" t="s">
        <v>27</v>
      </c>
      <c r="L114" s="2">
        <v>45739.592534722222</v>
      </c>
      <c r="M114" t="s">
        <v>336</v>
      </c>
    </row>
    <row r="115" spans="1:13" x14ac:dyDescent="0.45">
      <c r="A115" t="s">
        <v>559</v>
      </c>
      <c r="B115" t="s">
        <v>560</v>
      </c>
      <c r="C115" t="s">
        <v>561</v>
      </c>
      <c r="D115" t="s">
        <v>562</v>
      </c>
      <c r="E115" t="s">
        <v>32</v>
      </c>
      <c r="F115" t="s">
        <v>26</v>
      </c>
      <c r="G115">
        <v>19.989999999999998</v>
      </c>
      <c r="H115" t="s">
        <v>19</v>
      </c>
      <c r="I115" s="1">
        <v>46036</v>
      </c>
      <c r="J115" s="1">
        <v>46109</v>
      </c>
      <c r="K115" t="s">
        <v>75</v>
      </c>
      <c r="L115" s="2">
        <v>46127.757719907408</v>
      </c>
      <c r="M115" t="s">
        <v>309</v>
      </c>
    </row>
    <row r="116" spans="1:13" x14ac:dyDescent="0.45">
      <c r="A116" t="s">
        <v>62</v>
      </c>
      <c r="B116" t="s">
        <v>63</v>
      </c>
      <c r="C116" t="s">
        <v>64</v>
      </c>
      <c r="D116" t="s">
        <v>65</v>
      </c>
      <c r="E116" t="s">
        <v>66</v>
      </c>
      <c r="F116" t="s">
        <v>26</v>
      </c>
      <c r="G116">
        <v>19.989999999999998</v>
      </c>
      <c r="H116" t="s">
        <v>19</v>
      </c>
      <c r="I116" s="1">
        <v>45473</v>
      </c>
      <c r="J116" s="1"/>
      <c r="K116" t="s">
        <v>27</v>
      </c>
      <c r="L116" s="2">
        <v>45473.791666666664</v>
      </c>
      <c r="M116" t="s">
        <v>21</v>
      </c>
    </row>
    <row r="117" spans="1:13" x14ac:dyDescent="0.45">
      <c r="A117" t="s">
        <v>253</v>
      </c>
      <c r="B117" t="s">
        <v>254</v>
      </c>
      <c r="C117" t="s">
        <v>255</v>
      </c>
      <c r="D117" t="s">
        <v>256</v>
      </c>
      <c r="E117" t="s">
        <v>17</v>
      </c>
      <c r="F117" t="s">
        <v>26</v>
      </c>
      <c r="G117">
        <v>19.989999999999998</v>
      </c>
      <c r="H117" t="s">
        <v>19</v>
      </c>
      <c r="I117" s="1">
        <v>45934</v>
      </c>
      <c r="J117" s="1"/>
      <c r="K117" t="s">
        <v>49</v>
      </c>
      <c r="L117" s="2">
        <v>46105.736574074072</v>
      </c>
      <c r="M117" t="s">
        <v>21</v>
      </c>
    </row>
    <row r="118" spans="1:13" x14ac:dyDescent="0.45">
      <c r="A118" t="s">
        <v>393</v>
      </c>
      <c r="B118" t="s">
        <v>394</v>
      </c>
      <c r="C118" t="s">
        <v>395</v>
      </c>
      <c r="D118" t="s">
        <v>396</v>
      </c>
      <c r="E118" t="s">
        <v>66</v>
      </c>
      <c r="F118" t="s">
        <v>18</v>
      </c>
      <c r="G118">
        <v>9.99</v>
      </c>
      <c r="H118" t="s">
        <v>19</v>
      </c>
      <c r="I118" s="1">
        <v>45764</v>
      </c>
      <c r="J118" s="1"/>
      <c r="K118" t="s">
        <v>27</v>
      </c>
      <c r="L118" s="2">
        <v>45986.979317129626</v>
      </c>
      <c r="M118" t="s">
        <v>341</v>
      </c>
    </row>
    <row r="119" spans="1:13" x14ac:dyDescent="0.45">
      <c r="A119" t="s">
        <v>257</v>
      </c>
      <c r="B119" t="s">
        <v>258</v>
      </c>
      <c r="C119" t="s">
        <v>259</v>
      </c>
      <c r="D119" t="s">
        <v>260</v>
      </c>
      <c r="E119" t="s">
        <v>39</v>
      </c>
      <c r="F119" t="s">
        <v>18</v>
      </c>
      <c r="G119">
        <v>9.99</v>
      </c>
      <c r="H119" t="s">
        <v>19</v>
      </c>
      <c r="I119" s="1">
        <v>46102</v>
      </c>
      <c r="J119" s="1"/>
      <c r="K119" t="s">
        <v>27</v>
      </c>
      <c r="L119" s="2">
        <v>46259.250648148147</v>
      </c>
      <c r="M119" t="s">
        <v>21</v>
      </c>
    </row>
    <row r="120" spans="1:13" x14ac:dyDescent="0.45">
      <c r="A120" t="s">
        <v>261</v>
      </c>
      <c r="B120" t="s">
        <v>262</v>
      </c>
      <c r="C120" t="s">
        <v>263</v>
      </c>
      <c r="D120" t="s">
        <v>264</v>
      </c>
      <c r="E120" t="s">
        <v>17</v>
      </c>
      <c r="F120" t="s">
        <v>18</v>
      </c>
      <c r="G120">
        <v>9.99</v>
      </c>
      <c r="H120" t="s">
        <v>34</v>
      </c>
      <c r="I120" s="1">
        <v>45753</v>
      </c>
      <c r="J120" s="1"/>
      <c r="K120" t="s">
        <v>49</v>
      </c>
      <c r="L120" s="2">
        <v>45818.50037037037</v>
      </c>
      <c r="M120" t="s">
        <v>21</v>
      </c>
    </row>
    <row r="121" spans="1:13" x14ac:dyDescent="0.45">
      <c r="A121" t="s">
        <v>265</v>
      </c>
      <c r="B121" t="s">
        <v>266</v>
      </c>
      <c r="C121" t="s">
        <v>267</v>
      </c>
      <c r="D121" t="s">
        <v>268</v>
      </c>
      <c r="E121" t="s">
        <v>66</v>
      </c>
      <c r="F121" t="s">
        <v>18</v>
      </c>
      <c r="G121">
        <v>9.99</v>
      </c>
      <c r="H121" t="s">
        <v>19</v>
      </c>
      <c r="I121" s="1">
        <v>45827</v>
      </c>
      <c r="J121" s="1"/>
      <c r="K121" t="s">
        <v>49</v>
      </c>
      <c r="L121" s="2">
        <v>46046.729930555557</v>
      </c>
      <c r="M121" t="s">
        <v>21</v>
      </c>
    </row>
    <row r="122" spans="1:13" x14ac:dyDescent="0.45">
      <c r="A122" t="s">
        <v>563</v>
      </c>
      <c r="B122" t="s">
        <v>564</v>
      </c>
      <c r="C122" t="s">
        <v>565</v>
      </c>
      <c r="D122" t="s">
        <v>566</v>
      </c>
      <c r="E122" t="s">
        <v>17</v>
      </c>
      <c r="F122" t="s">
        <v>33</v>
      </c>
      <c r="G122">
        <v>0</v>
      </c>
      <c r="H122" t="s">
        <v>40</v>
      </c>
      <c r="I122" s="1">
        <v>45634</v>
      </c>
      <c r="J122" s="1">
        <v>45697</v>
      </c>
      <c r="K122" t="s">
        <v>49</v>
      </c>
      <c r="L122" s="2">
        <v>45917.703472222223</v>
      </c>
      <c r="M122" t="s">
        <v>21</v>
      </c>
    </row>
    <row r="123" spans="1:13" x14ac:dyDescent="0.45">
      <c r="A123" t="s">
        <v>381</v>
      </c>
      <c r="B123" t="s">
        <v>382</v>
      </c>
      <c r="C123" t="s">
        <v>383</v>
      </c>
      <c r="D123" t="s">
        <v>384</v>
      </c>
      <c r="E123" t="s">
        <v>17</v>
      </c>
      <c r="F123" t="s">
        <v>33</v>
      </c>
      <c r="G123">
        <v>0</v>
      </c>
      <c r="H123" t="s">
        <v>19</v>
      </c>
      <c r="I123" s="1">
        <v>46230</v>
      </c>
      <c r="J123" s="1"/>
      <c r="K123" t="s">
        <v>75</v>
      </c>
      <c r="L123" s="2">
        <v>46230.416666666664</v>
      </c>
      <c r="M123" t="s">
        <v>336</v>
      </c>
    </row>
    <row r="124" spans="1:13" x14ac:dyDescent="0.45">
      <c r="A124" t="s">
        <v>397</v>
      </c>
      <c r="B124" t="s">
        <v>398</v>
      </c>
      <c r="C124" t="s">
        <v>399</v>
      </c>
      <c r="D124" t="s">
        <v>400</v>
      </c>
      <c r="E124" t="s">
        <v>39</v>
      </c>
      <c r="F124" t="s">
        <v>18</v>
      </c>
      <c r="G124">
        <v>9.99</v>
      </c>
      <c r="H124" t="s">
        <v>19</v>
      </c>
      <c r="I124" s="1">
        <v>45422</v>
      </c>
      <c r="J124" s="1"/>
      <c r="K124" t="s">
        <v>20</v>
      </c>
      <c r="L124" s="2">
        <v>46239.723587962966</v>
      </c>
      <c r="M124" t="s">
        <v>336</v>
      </c>
    </row>
    <row r="125" spans="1:13" x14ac:dyDescent="0.45">
      <c r="A125" t="s">
        <v>269</v>
      </c>
      <c r="B125" t="s">
        <v>270</v>
      </c>
      <c r="C125" t="s">
        <v>271</v>
      </c>
      <c r="D125" t="s">
        <v>272</v>
      </c>
      <c r="E125" t="s">
        <v>17</v>
      </c>
      <c r="F125" t="s">
        <v>18</v>
      </c>
      <c r="G125">
        <v>0</v>
      </c>
      <c r="H125" t="s">
        <v>19</v>
      </c>
      <c r="I125" s="1">
        <v>45511</v>
      </c>
      <c r="J125" s="1"/>
      <c r="K125" t="s">
        <v>27</v>
      </c>
      <c r="L125" s="2">
        <v>45862.922361111108</v>
      </c>
      <c r="M125" t="s">
        <v>21</v>
      </c>
    </row>
    <row r="126" spans="1:13" x14ac:dyDescent="0.45">
      <c r="A126" t="s">
        <v>401</v>
      </c>
      <c r="B126" t="s">
        <v>402</v>
      </c>
      <c r="C126" t="s">
        <v>403</v>
      </c>
      <c r="D126" t="s">
        <v>404</v>
      </c>
      <c r="E126" t="s">
        <v>32</v>
      </c>
      <c r="F126" t="s">
        <v>18</v>
      </c>
      <c r="G126">
        <v>0</v>
      </c>
      <c r="H126" t="s">
        <v>19</v>
      </c>
      <c r="I126" s="1">
        <v>46048</v>
      </c>
      <c r="J126" s="1"/>
      <c r="K126" t="s">
        <v>75</v>
      </c>
      <c r="L126" s="2">
        <v>46288.019606481481</v>
      </c>
      <c r="M126" t="s">
        <v>314</v>
      </c>
    </row>
    <row r="127" spans="1:13" x14ac:dyDescent="0.45">
      <c r="A127" t="s">
        <v>567</v>
      </c>
      <c r="B127" t="s">
        <v>568</v>
      </c>
      <c r="C127" t="s">
        <v>569</v>
      </c>
      <c r="D127" t="s">
        <v>570</v>
      </c>
      <c r="E127" t="s">
        <v>17</v>
      </c>
      <c r="F127" t="s">
        <v>26</v>
      </c>
      <c r="G127">
        <v>19.989999999999998</v>
      </c>
      <c r="H127" t="s">
        <v>40</v>
      </c>
      <c r="I127" s="1">
        <v>45461</v>
      </c>
      <c r="J127" s="1">
        <v>45860</v>
      </c>
      <c r="K127" t="s">
        <v>27</v>
      </c>
      <c r="L127" s="2">
        <v>46044.495150462964</v>
      </c>
      <c r="M127" t="s">
        <v>21</v>
      </c>
    </row>
    <row r="128" spans="1:13" x14ac:dyDescent="0.45">
      <c r="A128" t="s">
        <v>273</v>
      </c>
      <c r="B128" t="s">
        <v>274</v>
      </c>
      <c r="C128" t="s">
        <v>275</v>
      </c>
      <c r="D128" t="s">
        <v>276</v>
      </c>
      <c r="E128" t="s">
        <v>17</v>
      </c>
      <c r="F128" t="s">
        <v>26</v>
      </c>
      <c r="G128">
        <v>19.989999999999998</v>
      </c>
      <c r="H128" t="s">
        <v>19</v>
      </c>
      <c r="I128" s="1">
        <v>45536</v>
      </c>
      <c r="J128" s="1"/>
      <c r="K128" t="s">
        <v>75</v>
      </c>
      <c r="L128" s="2">
        <v>46238.137615740743</v>
      </c>
      <c r="M128" t="s">
        <v>21</v>
      </c>
    </row>
    <row r="129" spans="1:13" x14ac:dyDescent="0.45">
      <c r="A129" t="s">
        <v>571</v>
      </c>
      <c r="B129" t="s">
        <v>572</v>
      </c>
      <c r="C129" t="s">
        <v>207</v>
      </c>
      <c r="D129" t="s">
        <v>573</v>
      </c>
      <c r="E129" t="s">
        <v>17</v>
      </c>
      <c r="F129" t="s">
        <v>26</v>
      </c>
      <c r="G129">
        <v>19.989999999999998</v>
      </c>
      <c r="H129" t="s">
        <v>40</v>
      </c>
      <c r="I129" s="1">
        <v>45806</v>
      </c>
      <c r="J129" s="1">
        <v>46106</v>
      </c>
      <c r="K129" t="s">
        <v>75</v>
      </c>
      <c r="L129" s="2">
        <v>46261.589108796295</v>
      </c>
      <c r="M129" t="s">
        <v>21</v>
      </c>
    </row>
    <row r="130" spans="1:13" x14ac:dyDescent="0.45">
      <c r="A130" t="s">
        <v>277</v>
      </c>
      <c r="B130" t="s">
        <v>278</v>
      </c>
      <c r="C130" t="s">
        <v>279</v>
      </c>
      <c r="D130" t="s">
        <v>280</v>
      </c>
      <c r="E130" t="s">
        <v>17</v>
      </c>
      <c r="F130" t="s">
        <v>18</v>
      </c>
      <c r="G130">
        <v>9.99</v>
      </c>
      <c r="H130" t="s">
        <v>19</v>
      </c>
      <c r="I130" s="1">
        <v>46248</v>
      </c>
      <c r="J130" s="1"/>
      <c r="K130" t="s">
        <v>27</v>
      </c>
      <c r="L130" s="2">
        <v>46254.052499999998</v>
      </c>
      <c r="M130" t="s">
        <v>21</v>
      </c>
    </row>
    <row r="131" spans="1:13" x14ac:dyDescent="0.45">
      <c r="A131" t="s">
        <v>281</v>
      </c>
      <c r="B131" t="s">
        <v>282</v>
      </c>
      <c r="C131" t="s">
        <v>283</v>
      </c>
      <c r="D131" t="s">
        <v>284</v>
      </c>
      <c r="E131" t="s">
        <v>17</v>
      </c>
      <c r="F131" t="s">
        <v>26</v>
      </c>
      <c r="G131">
        <v>19.989999999999998</v>
      </c>
      <c r="H131" t="s">
        <v>19</v>
      </c>
      <c r="I131" s="1">
        <v>45739</v>
      </c>
      <c r="J131" s="1"/>
      <c r="K131" t="s">
        <v>27</v>
      </c>
      <c r="L131" s="2">
        <v>46089.401458333334</v>
      </c>
      <c r="M131" t="s">
        <v>21</v>
      </c>
    </row>
    <row r="132" spans="1:13" x14ac:dyDescent="0.45">
      <c r="A132" t="s">
        <v>285</v>
      </c>
      <c r="B132" t="s">
        <v>286</v>
      </c>
      <c r="C132" t="s">
        <v>287</v>
      </c>
      <c r="D132" t="s">
        <v>288</v>
      </c>
      <c r="E132" t="s">
        <v>32</v>
      </c>
      <c r="F132" t="s">
        <v>18</v>
      </c>
      <c r="G132">
        <v>9.99</v>
      </c>
      <c r="H132" t="s">
        <v>19</v>
      </c>
      <c r="I132" s="1">
        <v>45687</v>
      </c>
      <c r="J132" s="1"/>
      <c r="K132" t="s">
        <v>27</v>
      </c>
      <c r="L132" s="2">
        <v>45934.529849537037</v>
      </c>
      <c r="M132" t="s">
        <v>21</v>
      </c>
    </row>
    <row r="133" spans="1:13" x14ac:dyDescent="0.45">
      <c r="A133" t="s">
        <v>289</v>
      </c>
      <c r="B133" t="s">
        <v>290</v>
      </c>
      <c r="C133" t="s">
        <v>291</v>
      </c>
      <c r="D133" t="s">
        <v>292</v>
      </c>
      <c r="E133" t="s">
        <v>39</v>
      </c>
      <c r="F133" t="s">
        <v>33</v>
      </c>
      <c r="G133">
        <v>0</v>
      </c>
      <c r="H133" t="s">
        <v>34</v>
      </c>
      <c r="I133" s="1">
        <v>45775</v>
      </c>
      <c r="J133" s="1"/>
      <c r="K133" t="s">
        <v>75</v>
      </c>
      <c r="L133" s="2">
        <v>46139.36859953704</v>
      </c>
      <c r="M133" t="s">
        <v>21</v>
      </c>
    </row>
    <row r="134" spans="1:13" x14ac:dyDescent="0.45">
      <c r="A134" t="s">
        <v>405</v>
      </c>
      <c r="B134" t="s">
        <v>406</v>
      </c>
      <c r="C134" t="s">
        <v>407</v>
      </c>
      <c r="D134" t="s">
        <v>408</v>
      </c>
      <c r="E134" t="s">
        <v>66</v>
      </c>
      <c r="F134" t="s">
        <v>33</v>
      </c>
      <c r="G134">
        <v>0</v>
      </c>
      <c r="H134" t="s">
        <v>19</v>
      </c>
      <c r="I134" s="1">
        <v>46036</v>
      </c>
      <c r="J134" s="1"/>
      <c r="K134" t="s">
        <v>27</v>
      </c>
      <c r="L134" s="2">
        <v>46147.887546296297</v>
      </c>
      <c r="M134" t="s">
        <v>341</v>
      </c>
    </row>
    <row r="135" spans="1:13" x14ac:dyDescent="0.45">
      <c r="A135" t="s">
        <v>293</v>
      </c>
      <c r="B135" t="s">
        <v>294</v>
      </c>
      <c r="C135" t="s">
        <v>295</v>
      </c>
      <c r="D135" t="s">
        <v>296</v>
      </c>
      <c r="E135" t="s">
        <v>39</v>
      </c>
      <c r="F135" t="s">
        <v>26</v>
      </c>
      <c r="G135">
        <v>19.989999999999998</v>
      </c>
      <c r="H135" t="s">
        <v>19</v>
      </c>
      <c r="I135" s="1">
        <v>45405</v>
      </c>
      <c r="J135" s="1"/>
      <c r="K135" t="s">
        <v>27</v>
      </c>
      <c r="L135" s="2">
        <v>45430.531423611108</v>
      </c>
      <c r="M135" t="s">
        <v>21</v>
      </c>
    </row>
    <row r="136" spans="1:13" x14ac:dyDescent="0.45">
      <c r="A136" t="s">
        <v>297</v>
      </c>
      <c r="B136" t="s">
        <v>298</v>
      </c>
      <c r="C136" t="s">
        <v>299</v>
      </c>
      <c r="D136" t="s">
        <v>300</v>
      </c>
      <c r="E136" t="s">
        <v>17</v>
      </c>
      <c r="F136" t="s">
        <v>26</v>
      </c>
      <c r="G136">
        <v>0</v>
      </c>
      <c r="H136" t="s">
        <v>19</v>
      </c>
      <c r="I136" s="1">
        <v>45312</v>
      </c>
      <c r="J136" s="1"/>
      <c r="K136" t="s">
        <v>27</v>
      </c>
      <c r="L136" s="2">
        <v>45912.999201388891</v>
      </c>
      <c r="M136" t="s">
        <v>21</v>
      </c>
    </row>
    <row r="137" spans="1:13" x14ac:dyDescent="0.45">
      <c r="A137" t="s">
        <v>574</v>
      </c>
      <c r="B137" t="s">
        <v>575</v>
      </c>
      <c r="C137" t="s">
        <v>576</v>
      </c>
      <c r="D137" t="s">
        <v>577</v>
      </c>
      <c r="E137" t="s">
        <v>17</v>
      </c>
      <c r="F137" t="s">
        <v>18</v>
      </c>
      <c r="G137">
        <v>9.99</v>
      </c>
      <c r="H137" t="s">
        <v>40</v>
      </c>
      <c r="I137" s="1">
        <v>46044</v>
      </c>
      <c r="J137" s="1">
        <v>46244</v>
      </c>
      <c r="K137" t="s">
        <v>27</v>
      </c>
      <c r="L137" s="2">
        <v>46260.999467592592</v>
      </c>
      <c r="M137" t="s">
        <v>21</v>
      </c>
    </row>
    <row r="138" spans="1:13" x14ac:dyDescent="0.45">
      <c r="A138" t="s">
        <v>409</v>
      </c>
      <c r="B138" t="s">
        <v>410</v>
      </c>
      <c r="C138" t="s">
        <v>411</v>
      </c>
      <c r="D138" t="s">
        <v>412</v>
      </c>
      <c r="E138" t="s">
        <v>39</v>
      </c>
      <c r="F138" t="s">
        <v>18</v>
      </c>
      <c r="G138">
        <v>9.99</v>
      </c>
      <c r="H138" t="s">
        <v>40</v>
      </c>
      <c r="I138" s="1">
        <v>45356</v>
      </c>
      <c r="J138" s="1"/>
      <c r="K138" t="s">
        <v>27</v>
      </c>
      <c r="L138" s="2">
        <v>45908.580347222225</v>
      </c>
      <c r="M138" t="s">
        <v>320</v>
      </c>
    </row>
    <row r="139" spans="1:13" x14ac:dyDescent="0.45">
      <c r="A139" t="s">
        <v>301</v>
      </c>
      <c r="B139" t="s">
        <v>302</v>
      </c>
      <c r="C139" t="s">
        <v>303</v>
      </c>
      <c r="D139" t="s">
        <v>304</v>
      </c>
      <c r="E139" t="s">
        <v>66</v>
      </c>
      <c r="F139" t="s">
        <v>18</v>
      </c>
      <c r="G139">
        <v>9.99</v>
      </c>
      <c r="H139" t="s">
        <v>34</v>
      </c>
      <c r="I139" s="1">
        <v>45848</v>
      </c>
      <c r="J139" s="1"/>
      <c r="K139" t="s">
        <v>49</v>
      </c>
      <c r="L139" s="2">
        <v>45996.434421296297</v>
      </c>
      <c r="M139" t="s">
        <v>21</v>
      </c>
    </row>
    <row r="140" spans="1:13" x14ac:dyDescent="0.45">
      <c r="A140" t="s">
        <v>578</v>
      </c>
      <c r="B140" t="s">
        <v>579</v>
      </c>
      <c r="C140" t="s">
        <v>580</v>
      </c>
      <c r="D140" t="s">
        <v>581</v>
      </c>
      <c r="E140" t="s">
        <v>39</v>
      </c>
      <c r="F140" t="s">
        <v>18</v>
      </c>
      <c r="G140">
        <v>9.99</v>
      </c>
      <c r="H140" t="s">
        <v>40</v>
      </c>
      <c r="I140" s="1">
        <v>45739</v>
      </c>
      <c r="J140" s="1">
        <v>45973</v>
      </c>
      <c r="K140" t="s">
        <v>20</v>
      </c>
      <c r="L140" s="2">
        <v>46104.668761574074</v>
      </c>
      <c r="M140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9C89-A2C8-45AD-A1DC-A059A04EA0E1}">
  <dimension ref="A1:E55"/>
  <sheetViews>
    <sheetView tabSelected="1" workbookViewId="0">
      <selection activeCell="G43" sqref="G43"/>
    </sheetView>
  </sheetViews>
  <sheetFormatPr defaultRowHeight="14.25" x14ac:dyDescent="0.45"/>
  <cols>
    <col min="1" max="1" width="70.46484375" bestFit="1" customWidth="1"/>
    <col min="2" max="2" width="12.53125" bestFit="1" customWidth="1"/>
    <col min="5" max="5" width="9.86328125" bestFit="1" customWidth="1"/>
  </cols>
  <sheetData>
    <row r="1" spans="1:2" x14ac:dyDescent="0.45">
      <c r="A1" s="6" t="s">
        <v>600</v>
      </c>
    </row>
    <row r="2" spans="1:2" x14ac:dyDescent="0.45">
      <c r="A2" s="3" t="s">
        <v>582</v>
      </c>
      <c r="B2" t="s">
        <v>590</v>
      </c>
    </row>
    <row r="3" spans="1:2" x14ac:dyDescent="0.45">
      <c r="A3" s="4" t="s">
        <v>19</v>
      </c>
      <c r="B3" s="5">
        <v>849.4300000000004</v>
      </c>
    </row>
    <row r="4" spans="1:2" x14ac:dyDescent="0.45">
      <c r="A4" s="4" t="s">
        <v>40</v>
      </c>
      <c r="B4" s="5">
        <v>449.71000000000015</v>
      </c>
    </row>
    <row r="5" spans="1:2" x14ac:dyDescent="0.45">
      <c r="A5" s="4" t="s">
        <v>34</v>
      </c>
      <c r="B5" s="5">
        <v>109.91999999999999</v>
      </c>
    </row>
    <row r="6" spans="1:2" x14ac:dyDescent="0.45">
      <c r="A6" s="4" t="s">
        <v>583</v>
      </c>
      <c r="B6" s="5">
        <v>1409.0600000000006</v>
      </c>
    </row>
    <row r="7" spans="1:2" x14ac:dyDescent="0.45">
      <c r="A7" s="4"/>
      <c r="B7" s="5"/>
    </row>
    <row r="8" spans="1:2" x14ac:dyDescent="0.45">
      <c r="A8" s="4"/>
      <c r="B8" s="5"/>
    </row>
    <row r="9" spans="1:2" x14ac:dyDescent="0.45">
      <c r="A9" s="3" t="s">
        <v>582</v>
      </c>
      <c r="B9" t="s">
        <v>590</v>
      </c>
    </row>
    <row r="10" spans="1:2" x14ac:dyDescent="0.45">
      <c r="A10" s="4" t="s">
        <v>26</v>
      </c>
      <c r="B10" s="5">
        <v>939.53000000000031</v>
      </c>
    </row>
    <row r="11" spans="1:2" x14ac:dyDescent="0.45">
      <c r="A11" s="4" t="s">
        <v>33</v>
      </c>
      <c r="B11" s="5">
        <v>0</v>
      </c>
    </row>
    <row r="12" spans="1:2" x14ac:dyDescent="0.45">
      <c r="A12" s="4" t="s">
        <v>18</v>
      </c>
      <c r="B12" s="5">
        <v>469.53000000000026</v>
      </c>
    </row>
    <row r="13" spans="1:2" x14ac:dyDescent="0.45">
      <c r="A13" s="4" t="s">
        <v>583</v>
      </c>
      <c r="B13" s="5">
        <v>1409.0600000000006</v>
      </c>
    </row>
    <row r="15" spans="1:2" x14ac:dyDescent="0.45">
      <c r="A15" s="6" t="s">
        <v>591</v>
      </c>
    </row>
    <row r="16" spans="1:2" x14ac:dyDescent="0.45">
      <c r="A16" s="3" t="s">
        <v>582</v>
      </c>
      <c r="B16" t="s">
        <v>590</v>
      </c>
    </row>
    <row r="17" spans="1:5" x14ac:dyDescent="0.45">
      <c r="A17" s="4" t="s">
        <v>39</v>
      </c>
      <c r="B17" s="5">
        <v>259.82000000000005</v>
      </c>
    </row>
    <row r="18" spans="1:5" x14ac:dyDescent="0.45">
      <c r="A18" s="4" t="s">
        <v>66</v>
      </c>
      <c r="B18" s="5">
        <v>279.81000000000006</v>
      </c>
    </row>
    <row r="19" spans="1:5" x14ac:dyDescent="0.45">
      <c r="A19" s="4" t="s">
        <v>32</v>
      </c>
      <c r="B19" s="5">
        <v>249.83000000000004</v>
      </c>
    </row>
    <row r="20" spans="1:5" ht="12.85" customHeight="1" x14ac:dyDescent="0.45">
      <c r="A20" s="4" t="s">
        <v>17</v>
      </c>
      <c r="B20" s="5">
        <v>619.60000000000025</v>
      </c>
    </row>
    <row r="21" spans="1:5" ht="15.75" customHeight="1" x14ac:dyDescent="0.45">
      <c r="A21" s="4" t="s">
        <v>583</v>
      </c>
      <c r="B21" s="5">
        <v>1409.0600000000004</v>
      </c>
    </row>
    <row r="22" spans="1:5" ht="15.75" customHeight="1" x14ac:dyDescent="0.45">
      <c r="A22" s="4"/>
      <c r="B22" s="5"/>
    </row>
    <row r="23" spans="1:5" x14ac:dyDescent="0.45">
      <c r="A23" s="6" t="s">
        <v>592</v>
      </c>
    </row>
    <row r="24" spans="1:5" x14ac:dyDescent="0.45">
      <c r="A24" s="3" t="s">
        <v>598</v>
      </c>
      <c r="B24" s="3" t="s">
        <v>585</v>
      </c>
    </row>
    <row r="25" spans="1:5" x14ac:dyDescent="0.45">
      <c r="A25" s="3" t="s">
        <v>582</v>
      </c>
      <c r="B25" t="s">
        <v>19</v>
      </c>
      <c r="C25" t="s">
        <v>40</v>
      </c>
      <c r="D25" t="s">
        <v>34</v>
      </c>
      <c r="E25" t="s">
        <v>583</v>
      </c>
    </row>
    <row r="26" spans="1:5" x14ac:dyDescent="0.45">
      <c r="A26" s="4" t="s">
        <v>597</v>
      </c>
      <c r="B26" s="7">
        <v>1</v>
      </c>
      <c r="C26" s="7">
        <v>0</v>
      </c>
      <c r="D26" s="7">
        <v>0</v>
      </c>
      <c r="E26" s="7">
        <v>1</v>
      </c>
    </row>
    <row r="27" spans="1:5" x14ac:dyDescent="0.45">
      <c r="A27" s="4" t="s">
        <v>586</v>
      </c>
      <c r="B27" s="7">
        <v>0.6</v>
      </c>
      <c r="C27" s="7">
        <v>0.35</v>
      </c>
      <c r="D27" s="7">
        <v>0.05</v>
      </c>
      <c r="E27" s="7">
        <v>1</v>
      </c>
    </row>
    <row r="28" spans="1:5" x14ac:dyDescent="0.45">
      <c r="A28" s="4" t="s">
        <v>587</v>
      </c>
      <c r="B28" s="7">
        <v>0.71052631578947367</v>
      </c>
      <c r="C28" s="7">
        <v>0.21052631578947367</v>
      </c>
      <c r="D28" s="7">
        <v>7.8947368421052627E-2</v>
      </c>
      <c r="E28" s="7">
        <v>1</v>
      </c>
    </row>
    <row r="29" spans="1:5" x14ac:dyDescent="0.45">
      <c r="A29" s="4" t="s">
        <v>588</v>
      </c>
      <c r="B29" s="7">
        <v>0.46875</v>
      </c>
      <c r="C29" s="7">
        <v>0.375</v>
      </c>
      <c r="D29" s="7">
        <v>0.15625</v>
      </c>
      <c r="E29" s="7">
        <v>1</v>
      </c>
    </row>
    <row r="30" spans="1:5" x14ac:dyDescent="0.45">
      <c r="A30" s="4" t="s">
        <v>589</v>
      </c>
      <c r="B30" s="7">
        <v>0.5</v>
      </c>
      <c r="C30" s="7">
        <v>0.30769230769230771</v>
      </c>
      <c r="D30" s="7">
        <v>0.19230769230769232</v>
      </c>
      <c r="E30" s="7">
        <v>1</v>
      </c>
    </row>
    <row r="31" spans="1:5" x14ac:dyDescent="0.45">
      <c r="A31" s="4" t="s">
        <v>583</v>
      </c>
      <c r="B31" s="7">
        <v>0.58992805755395683</v>
      </c>
      <c r="C31" s="7">
        <v>0.30215827338129497</v>
      </c>
      <c r="D31" s="7">
        <v>0.1079136690647482</v>
      </c>
      <c r="E31" s="7">
        <v>1</v>
      </c>
    </row>
    <row r="32" spans="1:5" x14ac:dyDescent="0.45">
      <c r="C32" s="7"/>
      <c r="D32" s="7"/>
      <c r="E32" s="7"/>
    </row>
    <row r="33" spans="1:5" x14ac:dyDescent="0.45">
      <c r="A33" s="6" t="s">
        <v>593</v>
      </c>
    </row>
    <row r="34" spans="1:5" x14ac:dyDescent="0.45">
      <c r="A34" s="3" t="s">
        <v>584</v>
      </c>
      <c r="B34" s="3" t="s">
        <v>585</v>
      </c>
    </row>
    <row r="35" spans="1:5" x14ac:dyDescent="0.45">
      <c r="A35" s="3" t="s">
        <v>582</v>
      </c>
      <c r="B35" t="s">
        <v>19</v>
      </c>
      <c r="C35" t="s">
        <v>40</v>
      </c>
      <c r="D35" t="s">
        <v>34</v>
      </c>
      <c r="E35" t="s">
        <v>583</v>
      </c>
    </row>
    <row r="36" spans="1:5" x14ac:dyDescent="0.45">
      <c r="A36" s="4" t="s">
        <v>39</v>
      </c>
      <c r="B36" s="5">
        <v>18</v>
      </c>
      <c r="C36" s="5">
        <v>10</v>
      </c>
      <c r="D36" s="5">
        <v>5</v>
      </c>
      <c r="E36" s="5">
        <v>33</v>
      </c>
    </row>
    <row r="37" spans="1:5" x14ac:dyDescent="0.45">
      <c r="A37" s="4" t="s">
        <v>66</v>
      </c>
      <c r="B37" s="5">
        <v>14</v>
      </c>
      <c r="C37" s="5">
        <v>5</v>
      </c>
      <c r="D37" s="5">
        <v>5</v>
      </c>
      <c r="E37" s="5">
        <v>24</v>
      </c>
    </row>
    <row r="38" spans="1:5" x14ac:dyDescent="0.45">
      <c r="A38" s="4" t="s">
        <v>32</v>
      </c>
      <c r="B38" s="5">
        <v>13</v>
      </c>
      <c r="C38" s="5">
        <v>7</v>
      </c>
      <c r="D38" s="5">
        <v>3</v>
      </c>
      <c r="E38" s="5">
        <v>23</v>
      </c>
    </row>
    <row r="39" spans="1:5" x14ac:dyDescent="0.45">
      <c r="A39" s="4" t="s">
        <v>17</v>
      </c>
      <c r="B39" s="5">
        <v>37</v>
      </c>
      <c r="C39" s="5">
        <v>20</v>
      </c>
      <c r="D39" s="5">
        <v>2</v>
      </c>
      <c r="E39" s="5">
        <v>59</v>
      </c>
    </row>
    <row r="40" spans="1:5" x14ac:dyDescent="0.45">
      <c r="A40" s="4" t="s">
        <v>583</v>
      </c>
      <c r="B40" s="5">
        <v>82</v>
      </c>
      <c r="C40" s="5">
        <v>42</v>
      </c>
      <c r="D40" s="5">
        <v>15</v>
      </c>
      <c r="E40" s="5">
        <v>139</v>
      </c>
    </row>
    <row r="42" spans="1:5" x14ac:dyDescent="0.45">
      <c r="A42" s="6" t="s">
        <v>594</v>
      </c>
    </row>
    <row r="43" spans="1:5" x14ac:dyDescent="0.45">
      <c r="A43" s="3" t="s">
        <v>599</v>
      </c>
      <c r="B43" s="3" t="s">
        <v>585</v>
      </c>
    </row>
    <row r="44" spans="1:5" x14ac:dyDescent="0.45">
      <c r="A44" s="3" t="s">
        <v>582</v>
      </c>
      <c r="B44" t="s">
        <v>26</v>
      </c>
      <c r="C44" t="s">
        <v>33</v>
      </c>
      <c r="D44" t="s">
        <v>18</v>
      </c>
      <c r="E44" t="s">
        <v>583</v>
      </c>
    </row>
    <row r="45" spans="1:5" x14ac:dyDescent="0.45">
      <c r="A45" s="4" t="s">
        <v>39</v>
      </c>
      <c r="B45" s="7">
        <v>5.7553956834532377E-2</v>
      </c>
      <c r="C45" s="7">
        <v>0.10071942446043165</v>
      </c>
      <c r="D45" s="7">
        <v>7.9136690647482008E-2</v>
      </c>
      <c r="E45" s="7">
        <v>0.23741007194244604</v>
      </c>
    </row>
    <row r="46" spans="1:5" x14ac:dyDescent="0.45">
      <c r="A46" s="4" t="s">
        <v>66</v>
      </c>
      <c r="B46" s="7">
        <v>6.4748201438848921E-2</v>
      </c>
      <c r="C46" s="7">
        <v>3.5971223021582732E-2</v>
      </c>
      <c r="D46" s="7">
        <v>7.1942446043165464E-2</v>
      </c>
      <c r="E46" s="7">
        <v>0.17266187050359713</v>
      </c>
    </row>
    <row r="47" spans="1:5" x14ac:dyDescent="0.45">
      <c r="A47" s="4" t="s">
        <v>32</v>
      </c>
      <c r="B47" s="7">
        <v>5.7553956834532377E-2</v>
      </c>
      <c r="C47" s="7">
        <v>3.5971223021582732E-2</v>
      </c>
      <c r="D47" s="7">
        <v>7.1942446043165464E-2</v>
      </c>
      <c r="E47" s="7">
        <v>0.16546762589928057</v>
      </c>
    </row>
    <row r="48" spans="1:5" x14ac:dyDescent="0.45">
      <c r="A48" s="4" t="s">
        <v>17</v>
      </c>
      <c r="B48" s="7">
        <v>0.16546762589928057</v>
      </c>
      <c r="C48" s="7">
        <v>0.1079136690647482</v>
      </c>
      <c r="D48" s="7">
        <v>0.15107913669064749</v>
      </c>
      <c r="E48" s="7">
        <v>0.42446043165467628</v>
      </c>
    </row>
    <row r="49" spans="1:5" x14ac:dyDescent="0.45">
      <c r="A49" s="4" t="s">
        <v>583</v>
      </c>
      <c r="B49" s="7">
        <v>0.34532374100719426</v>
      </c>
      <c r="C49" s="7">
        <v>0.2805755395683453</v>
      </c>
      <c r="D49" s="7">
        <v>0.37410071942446044</v>
      </c>
      <c r="E49" s="7">
        <v>1</v>
      </c>
    </row>
    <row r="51" spans="1:5" x14ac:dyDescent="0.45">
      <c r="A51" s="6" t="s">
        <v>595</v>
      </c>
    </row>
    <row r="52" spans="1:5" x14ac:dyDescent="0.45">
      <c r="A52" s="6"/>
    </row>
    <row r="53" spans="1:5" x14ac:dyDescent="0.45">
      <c r="A53" s="6"/>
    </row>
    <row r="54" spans="1:5" x14ac:dyDescent="0.45">
      <c r="A54" s="6" t="s">
        <v>596</v>
      </c>
    </row>
    <row r="55" spans="1:5" x14ac:dyDescent="0.45">
      <c r="A55" s="6"/>
    </row>
  </sheetData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F002-88B1-48D8-8C28-06EE68FFB9CB}">
  <dimension ref="A1"/>
  <sheetViews>
    <sheetView workbookViewId="0">
      <selection activeCell="D10" sqref="D10"/>
    </sheetView>
  </sheetViews>
  <sheetFormatPr defaultRowHeight="14.25" x14ac:dyDescent="0.45"/>
  <cols>
    <col min="1" max="2" width="18.132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1783-DC20-42D5-8D8A-3B3C505E1F3C}">
  <dimension ref="A1"/>
  <sheetViews>
    <sheetView workbookViewId="0">
      <selection activeCell="E25" sqref="E25"/>
    </sheetView>
  </sheetViews>
  <sheetFormatPr defaultRowHeight="14.25" x14ac:dyDescent="0.45"/>
  <cols>
    <col min="1" max="1" width="11.9296875" bestFit="1" customWidth="1"/>
    <col min="2" max="2" width="18.1328125" bestFit="1" customWidth="1"/>
    <col min="3" max="4" width="8.06640625" bestFit="1" customWidth="1"/>
    <col min="5" max="10" width="9.06640625" bestFit="1" customWidth="1"/>
    <col min="11" max="11" width="8.06640625" bestFit="1" customWidth="1"/>
    <col min="12" max="12" width="9.06640625" bestFit="1" customWidth="1"/>
    <col min="13" max="13" width="8.06640625" bestFit="1" customWidth="1"/>
    <col min="14" max="20" width="9.06640625" bestFit="1" customWidth="1"/>
    <col min="21" max="23" width="8.06640625" bestFit="1" customWidth="1"/>
    <col min="24" max="28" width="9.06640625" bestFit="1" customWidth="1"/>
    <col min="29" max="29" width="8.06640625" bestFit="1" customWidth="1"/>
    <col min="30" max="33" width="9.06640625" bestFit="1" customWidth="1"/>
    <col min="34" max="34" width="8.06640625" bestFit="1" customWidth="1"/>
    <col min="35" max="37" width="9.06640625" bestFit="1" customWidth="1"/>
    <col min="38" max="39" width="10.06640625" bestFit="1" customWidth="1"/>
    <col min="40" max="40" width="9.06640625" bestFit="1" customWidth="1"/>
    <col min="41" max="44" width="10.06640625" bestFit="1" customWidth="1"/>
    <col min="45" max="48" width="9.06640625" bestFit="1" customWidth="1"/>
    <col min="49" max="50" width="10.06640625" bestFit="1" customWidth="1"/>
    <col min="51" max="51" width="8.06640625" bestFit="1" customWidth="1"/>
    <col min="52" max="55" width="9.06640625" bestFit="1" customWidth="1"/>
    <col min="56" max="56" width="8.06640625" bestFit="1" customWidth="1"/>
    <col min="57" max="59" width="9.06640625" bestFit="1" customWidth="1"/>
    <col min="60" max="60" width="8.06640625" bestFit="1" customWidth="1"/>
    <col min="61" max="61" width="9.06640625" bestFit="1" customWidth="1"/>
    <col min="62" max="62" width="8.06640625" bestFit="1" customWidth="1"/>
    <col min="63" max="64" width="9.06640625" bestFit="1" customWidth="1"/>
    <col min="65" max="66" width="8.06640625" bestFit="1" customWidth="1"/>
    <col min="67" max="68" width="9.06640625" bestFit="1" customWidth="1"/>
    <col min="69" max="69" width="8.06640625" bestFit="1" customWidth="1"/>
    <col min="70" max="73" width="9.06640625" bestFit="1" customWidth="1"/>
    <col min="74" max="75" width="8.06640625" bestFit="1" customWidth="1"/>
    <col min="76" max="80" width="9.06640625" bestFit="1" customWidth="1"/>
    <col min="81" max="82" width="8.06640625" bestFit="1" customWidth="1"/>
    <col min="83" max="83" width="9.06640625" bestFit="1" customWidth="1"/>
    <col min="84" max="84" width="8.06640625" bestFit="1" customWidth="1"/>
    <col min="85" max="85" width="9.06640625" bestFit="1" customWidth="1"/>
    <col min="87" max="89" width="9.06640625" bestFit="1" customWidth="1"/>
    <col min="90" max="92" width="10.06640625" bestFit="1" customWidth="1"/>
    <col min="93" max="94" width="9.06640625" bestFit="1" customWidth="1"/>
    <col min="95" max="96" width="10.06640625" bestFit="1" customWidth="1"/>
    <col min="97" max="97" width="8.06640625" bestFit="1" customWidth="1"/>
    <col min="98" max="101" width="9.06640625" bestFit="1" customWidth="1"/>
    <col min="102" max="102" width="8.06640625" bestFit="1" customWidth="1"/>
    <col min="103" max="103" width="9.06640625" bestFit="1" customWidth="1"/>
    <col min="104" max="105" width="8.06640625" bestFit="1" customWidth="1"/>
    <col min="106" max="114" width="9.06640625" bestFit="1" customWidth="1"/>
    <col min="115" max="116" width="8.06640625" bestFit="1" customWidth="1"/>
    <col min="117" max="117" width="9.06640625" bestFit="1" customWidth="1"/>
    <col min="118" max="118" width="8.06640625" bestFit="1" customWidth="1"/>
    <col min="119" max="124" width="9.06640625" bestFit="1" customWidth="1"/>
    <col min="125" max="125" width="8.06640625" bestFit="1" customWidth="1"/>
    <col min="126" max="126" width="10.06640625" bestFit="1" customWidth="1"/>
    <col min="127" max="127" width="9.86328125" bestFit="1" customWidth="1"/>
    <col min="128" max="132" width="10.6640625" bestFit="1" customWidth="1"/>
    <col min="133" max="133" width="9.6640625" bestFit="1" customWidth="1"/>
    <col min="134" max="134" width="11.6640625" bestFit="1" customWidth="1"/>
    <col min="135" max="135" width="9.8632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06EB-0131-4302-9D8A-FA410778D36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5158-279D-407D-842A-C5DEB2E83E8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6374-B547-493B-98B0-E1FBCE9DAFE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5366AAB-0959-4DEF-AC2E-E56952A1BF58}">
  <ds:schemaRefs/>
</ds:datastoreItem>
</file>

<file path=customXml/itemProps2.xml><?xml version="1.0" encoding="utf-8"?>
<ds:datastoreItem xmlns:ds="http://schemas.openxmlformats.org/officeDocument/2006/customXml" ds:itemID="{9BCA7A09-07C0-41B0-8D1B-663B967C2B4A}">
  <ds:schemaRefs/>
</ds:datastoreItem>
</file>

<file path=customXml/itemProps3.xml><?xml version="1.0" encoding="utf-8"?>
<ds:datastoreItem xmlns:ds="http://schemas.openxmlformats.org/officeDocument/2006/customXml" ds:itemID="{F305629A-2CB5-4FE3-B8A9-233682C305DF}">
  <ds:schemaRefs/>
</ds:datastoreItem>
</file>

<file path=customXml/itemProps4.xml><?xml version="1.0" encoding="utf-8"?>
<ds:datastoreItem xmlns:ds="http://schemas.openxmlformats.org/officeDocument/2006/customXml" ds:itemID="{C390BDD0-74B2-4566-8157-4441BBDED293}">
  <ds:schemaRefs/>
</ds:datastoreItem>
</file>

<file path=customXml/itemProps5.xml><?xml version="1.0" encoding="utf-8"?>
<ds:datastoreItem xmlns:ds="http://schemas.openxmlformats.org/officeDocument/2006/customXml" ds:itemID="{810A74C3-25CB-4B07-A6EA-0783B02667D7}">
  <ds:schemaRefs/>
</ds:datastoreItem>
</file>

<file path=customXml/itemProps6.xml><?xml version="1.0" encoding="utf-8"?>
<ds:datastoreItem xmlns:ds="http://schemas.openxmlformats.org/officeDocument/2006/customXml" ds:itemID="{5C5F7CFC-D389-47F4-9BF3-85D703BD6A09}">
  <ds:schemaRefs/>
</ds:datastoreItem>
</file>

<file path=customXml/itemProps7.xml><?xml version="1.0" encoding="utf-8"?>
<ds:datastoreItem xmlns:ds="http://schemas.openxmlformats.org/officeDocument/2006/customXml" ds:itemID="{ACB78FD6-43F1-4D28-812E-6D1E838AC894}">
  <ds:schemaRefs/>
</ds:datastoreItem>
</file>

<file path=customXml/itemProps8.xml><?xml version="1.0" encoding="utf-8"?>
<ds:datastoreItem xmlns:ds="http://schemas.openxmlformats.org/officeDocument/2006/customXml" ds:itemID="{3F530C56-DC36-4C2F-814C-30541AF7D2D1}">
  <ds:schemaRefs/>
</ds:datastoreItem>
</file>

<file path=customXml/itemProps9.xml><?xml version="1.0" encoding="utf-8"?>
<ds:datastoreItem xmlns:ds="http://schemas.openxmlformats.org/officeDocument/2006/customXml" ds:itemID="{81F2C399-E4A7-4A65-ADDB-1F5DED75B4C5}">
  <ds:schemaRefs/>
</ds:datastoreItem>
</file>

<file path=customXml/itemProps10.xml><?xml version="1.0" encoding="utf-8"?>
<ds:datastoreItem xmlns:ds="http://schemas.openxmlformats.org/officeDocument/2006/customXml" ds:itemID="{F7B9B3D6-A4C6-4280-BD50-7B0D3552E32A}">
  <ds:schemaRefs/>
</ds:datastoreItem>
</file>

<file path=customXml/itemProps11.xml><?xml version="1.0" encoding="utf-8"?>
<ds:datastoreItem xmlns:ds="http://schemas.openxmlformats.org/officeDocument/2006/customXml" ds:itemID="{5601D8E3-E9BA-40A4-9505-FC535EE3D37F}">
  <ds:schemaRefs/>
</ds:datastoreItem>
</file>

<file path=customXml/itemProps12.xml><?xml version="1.0" encoding="utf-8"?>
<ds:datastoreItem xmlns:ds="http://schemas.openxmlformats.org/officeDocument/2006/customXml" ds:itemID="{6095750F-BFE6-4050-8E91-3482A6834C84}">
  <ds:schemaRefs/>
</ds:datastoreItem>
</file>

<file path=customXml/itemProps13.xml><?xml version="1.0" encoding="utf-8"?>
<ds:datastoreItem xmlns:ds="http://schemas.openxmlformats.org/officeDocument/2006/customXml" ds:itemID="{B6416772-B603-49B2-A876-500311DCC193}">
  <ds:schemaRefs/>
</ds:datastoreItem>
</file>

<file path=customXml/itemProps14.xml><?xml version="1.0" encoding="utf-8"?>
<ds:datastoreItem xmlns:ds="http://schemas.openxmlformats.org/officeDocument/2006/customXml" ds:itemID="{51FAEF10-5017-47AD-B276-6F17E32488A0}">
  <ds:schemaRefs/>
</ds:datastoreItem>
</file>

<file path=customXml/itemProps15.xml><?xml version="1.0" encoding="utf-8"?>
<ds:datastoreItem xmlns:ds="http://schemas.openxmlformats.org/officeDocument/2006/customXml" ds:itemID="{FD3A1A82-B724-4FD3-8A7A-D05E8A2455F5}">
  <ds:schemaRefs/>
</ds:datastoreItem>
</file>

<file path=customXml/itemProps16.xml><?xml version="1.0" encoding="utf-8"?>
<ds:datastoreItem xmlns:ds="http://schemas.openxmlformats.org/officeDocument/2006/customXml" ds:itemID="{FDA25438-703B-44AE-960D-1E2B8D39CA8D}">
  <ds:schemaRefs/>
</ds:datastoreItem>
</file>

<file path=customXml/itemProps17.xml><?xml version="1.0" encoding="utf-8"?>
<ds:datastoreItem xmlns:ds="http://schemas.openxmlformats.org/officeDocument/2006/customXml" ds:itemID="{59872B6E-1BC1-4868-968C-8D503C817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eda</vt:lpstr>
      <vt:lpstr>dashboard</vt:lpstr>
      <vt:lpstr>revenue &amp; performance</vt:lpstr>
      <vt:lpstr>customer retention &amp; churn</vt:lpstr>
      <vt:lpstr>market &amp; customer segmentation</vt:lpstr>
      <vt:lpstr>data quality &amp;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soni</dc:creator>
  <cp:lastModifiedBy>kuldeep soni</cp:lastModifiedBy>
  <dcterms:created xsi:type="dcterms:W3CDTF">2026-10-04T06:54:40Z</dcterms:created>
  <dcterms:modified xsi:type="dcterms:W3CDTF">2026-10-11T09:05:33Z</dcterms:modified>
</cp:coreProperties>
</file>